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art Here" sheetId="1" r:id="rId5"/>
    <sheet state="visible" name="Contribution Log" sheetId="2" r:id="rId6"/>
    <sheet state="visible" name="Dashboard" sheetId="3" r:id="rId7"/>
    <sheet state="visible" name="Jira Statistics" sheetId="4" r:id="rId8"/>
    <sheet state="visible" name="Client Report" sheetId="5" r:id="rId9"/>
    <sheet state="visible" name="Lists" sheetId="6" r:id="rId10"/>
  </sheets>
  <definedNames>
    <definedName hidden="1" localSheetId="1" name="_xlnm._FilterDatabase">'Contribution Log'!$A$1:$R$596</definedName>
    <definedName hidden="1" localSheetId="3" name="_xlnm._FilterDatabase">'Jira Statistics'!$B$52:$K$128</definedName>
  </definedNames>
  <calcPr fullCalcOnLoad="1"/>
</workbook>
</file>

<file path=xl/sharedStrings.xml><?xml version="1.0" encoding="utf-8"?>
<sst xmlns="http://schemas.openxmlformats.org/spreadsheetml/2006/main" count="1780" uniqueCount="652">
  <si>
    <t>Dashboard</t>
  </si>
  <si>
    <t>CS-57 - Contribution Tracker</t>
  </si>
  <si>
    <t>Jira Statistics</t>
  </si>
  <si>
    <t>Everything here is calculated from the Contribution Log. Nothing on this tab needs to be typed.</t>
  </si>
  <si>
    <t>Date</t>
  </si>
  <si>
    <t>The CS-57 board, matched to the 59 committed backlog stories. Status and assignees are a snapshot of docs/Jira.csv; PR counts are live from the Contribution Log. Only the nine Owner cells are typed.</t>
  </si>
  <si>
    <t>PRS MERGED</t>
  </si>
  <si>
    <t>Human-AI Data Annotation, Provenance &amp; Dataset Evaluation Platform   |   Group CS-57   |   Client: Hunter Xu</t>
  </si>
  <si>
    <t>Week</t>
  </si>
  <si>
    <t>WORK ITEMS</t>
  </si>
  <si>
    <t>The one rule</t>
  </si>
  <si>
    <t>Member</t>
  </si>
  <si>
    <t>Reviewed by</t>
  </si>
  <si>
    <t>Review OK?</t>
  </si>
  <si>
    <t>SCRUM ticket</t>
  </si>
  <si>
    <t>PR #</t>
  </si>
  <si>
    <t>After your pull request is merged into main, add ONE row to the 'Contribution Log' tab. That is the whole process. Every other tab fills itself in from those rows.</t>
  </si>
  <si>
    <t>PR link</t>
  </si>
  <si>
    <t>Work type</t>
  </si>
  <si>
    <t>Area / repo</t>
  </si>
  <si>
    <t>Story ID</t>
  </si>
  <si>
    <t>Story title</t>
  </si>
  <si>
    <t>What each tab is for</t>
  </si>
  <si>
    <t>Epic</t>
  </si>
  <si>
    <t>Pri</t>
  </si>
  <si>
    <t>Defects closed</t>
  </si>
  <si>
    <t>What changed (plain English, for the client)</t>
  </si>
  <si>
    <t>Contribution Log</t>
  </si>
  <si>
    <t>IN PROGRESS</t>
  </si>
  <si>
    <t>Story complete?</t>
  </si>
  <si>
    <t>Notes / evidence</t>
  </si>
  <si>
    <t>IN REVIEW</t>
  </si>
  <si>
    <t>DONE</t>
  </si>
  <si>
    <t>The only tab you type into. One row per merged PR. Cream headers = you fill in; grey headers = filled in automatically, do not type in them.</t>
  </si>
  <si>
    <t>IN SPRINT W7</t>
  </si>
  <si>
    <t>Automatic. Who merged what, per week and in total; review health; the split across frontend / backend / AI.</t>
  </si>
  <si>
    <t>UNASSIGNED</t>
  </si>
  <si>
    <t>Who owns which bundle, how much of the committed scope is done, workload per person, and every issue on the board matched to the story it serves. Fill in the nine Owner cells once; the rest is a snapshot of docs/Jira.csv plus live PR counts.</t>
  </si>
  <si>
    <t>Client Report</t>
  </si>
  <si>
    <t>Set a date range at the top and this becomes the numbers block for the Status Checking form and the weekly client meeting.</t>
  </si>
  <si>
    <t>Lists</t>
  </si>
  <si>
    <t>Reference data behind the dropdowns and the automatic columns. Only edit the Week 1 Monday date, and only once.</t>
  </si>
  <si>
    <t>STORIES TOUCHED</t>
  </si>
  <si>
    <t>When you finish a story</t>
  </si>
  <si>
    <t>Work through this before you ask for a review. If you cannot tick items 1 and 2, the story is not finished - which is fine, but log the PR with 'Story complete? = No'.</t>
  </si>
  <si>
    <t>STORIES COMPLETE</t>
  </si>
  <si>
    <t>1.   Open the story in user-stories.html and re-read its acceptance criteria - every numbered criterion, not the one you remember. This is what 'done' means for that story.</t>
  </si>
  <si>
    <t>2.   The checks pass: npm run typecheck and the test suite run clean in whatever you touched (story A2).</t>
  </si>
  <si>
    <t>SELF-REVIEWS</t>
  </si>
  <si>
    <t>3.   There is a test covering the behaviour you changed, not only the code you wrote.</t>
  </si>
  <si>
    <t>Work bundles</t>
  </si>
  <si>
    <t>4.   Anything a teammate could not guess is written down - a change note, and a decision record if you chose between real alternatives.</t>
  </si>
  <si>
    <t>Fill in the nine Owner cells once. This is the only typing on this tab.</t>
  </si>
  <si>
    <t>5.   Open the PR with the story ID in the title, e.g. 'C2 - task queue progress'.</t>
  </si>
  <si>
    <t>6.   Request review from someone who did not write the code (story A1), and move the SCRUM ticket to In Review.</t>
  </si>
  <si>
    <t>#</t>
  </si>
  <si>
    <t>7.   Once it is merged: move the SCRUM ticket to Done, then add your row to the Contribution Log.</t>
  </si>
  <si>
    <t>Work bundle</t>
  </si>
  <si>
    <t>Yi Geng</t>
  </si>
  <si>
    <t>What it covers</t>
  </si>
  <si>
    <t>8.   Set 'Story complete? = Yes' only if every acceptance criterion is now met. If it closed a catalogued defect, put the issue number in 'Defects closed'.</t>
  </si>
  <si>
    <t>How to log a merged PR</t>
  </si>
  <si>
    <t>1.   Open 'Contribution Log' and go to the first empty row.</t>
  </si>
  <si>
    <t>2.   Date merged - the date the PR landed on main. The Week column fills itself in from this.</t>
  </si>
  <si>
    <t>Stories</t>
  </si>
  <si>
    <t>To do</t>
  </si>
  <si>
    <t>3.   Member is you. Reviewed by is the teammate who approved the PR. They must be different people (story A1 - no change reaches main without a second person's review); the sheet turns the row red if they are not.</t>
  </si>
  <si>
    <t>Doing</t>
  </si>
  <si>
    <t>Done</t>
  </si>
  <si>
    <t>PRs</t>
  </si>
  <si>
    <t>4.   Story ID - pick the backlog story the work serves (A1 ... K4). The story title, epic and priority appear automatically.</t>
  </si>
  <si>
    <t>5.   What changed - one sentence a non-engineer can understand. This sentence is what gets read out to the client, so write it for the client, not for the team.</t>
  </si>
  <si>
    <t>1</t>
  </si>
  <si>
    <t>6.   Story complete? - answer 'Yes' only when nothing further is needed for that story. This is what drives every progress number in the workbook.</t>
  </si>
  <si>
    <t>What a good row looks like</t>
  </si>
  <si>
    <t>AI task queue</t>
  </si>
  <si>
    <t>https://github.com/USYD-CS-Capstone/hej/pull/1</t>
  </si>
  <si>
    <t>Date merged</t>
  </si>
  <si>
    <t>Task queue with progress bar; completed / failed / retry</t>
  </si>
  <si>
    <t>2026-09-08</t>
  </si>
  <si>
    <t>Hanchen Wang</t>
  </si>
  <si>
    <t>Michael Max</t>
  </si>
  <si>
    <t>Feature</t>
  </si>
  <si>
    <t>C2</t>
  </si>
  <si>
    <t>A task with 1,000 items now runs in the background and shows a live progress bar, instead of freezing the page.</t>
  </si>
  <si>
    <t>No - more work to come</t>
  </si>
  <si>
    <t>2026-09-09</t>
  </si>
  <si>
    <t>Dishank Aswal</t>
  </si>
  <si>
    <t>Defect fix</t>
  </si>
  <si>
    <t>C3</t>
  </si>
  <si>
    <t>When the AI is unavailable the item is now marked 'AI failed' instead of being filled with an invented bounding box.</t>
  </si>
  <si>
    <t>Yes - story complete</t>
  </si>
  <si>
    <t>2026-09-10</t>
  </si>
  <si>
    <t>Parth</t>
  </si>
  <si>
    <t>Tok Tin Chung</t>
  </si>
  <si>
    <t>Client / PM / Report</t>
  </si>
  <si>
    <t>K2</t>
  </si>
  <si>
    <t>Wrote up the Week 6 status report and the client's decision on dispute routing.</t>
  </si>
  <si>
    <t>N/A - not story work</t>
  </si>
  <si>
    <t>Refactor</t>
  </si>
  <si>
    <t>Note what the summaries do not say: no file names, no function names, no ticket jargon. Write the sentence the client would understand if it were read out loud.</t>
  </si>
  <si>
    <t>Other</t>
  </si>
  <si>
    <t>-</t>
  </si>
  <si>
    <t>Ground rules</t>
  </si>
  <si>
    <t>-   One row per merged PR - not per commit, and not per day of work.</t>
  </si>
  <si>
    <t>-   Log it the same day it merges. A log reconstructed from memory in Week 12 is worth very little to anyone, including you.</t>
  </si>
  <si>
    <t>-   Never delete or reorder someone else's row. If a row is wrong, correct that row.</t>
  </si>
  <si>
    <t>-   Do not insert, delete or reorder columns. The other tabs read this one by column position and will break.</t>
  </si>
  <si>
    <t>-   Work that is not a PR still counts - client meetings, the report, the proposal, research spikes. Log it with work type 'Client / PM / Report' or 'Spike / Research' and leave the PR number blank.</t>
  </si>
  <si>
    <t>-   If one PR serves two stories, log the row against the main story and name the second one in Notes.</t>
  </si>
  <si>
    <t>Copy the branch name 'week13' (previous team's latest progress) to the main branch</t>
  </si>
  <si>
    <t>Jingwei Lin</t>
  </si>
  <si>
    <t>SCRUM-82</t>
  </si>
  <si>
    <t>https://github.com/USYD-CS-Capstone/hej/pull/2</t>
  </si>
  <si>
    <t>DevOps / CI</t>
  </si>
  <si>
    <t>CI / tooling</t>
  </si>
  <si>
    <t>A2</t>
  </si>
  <si>
    <t>12,13,25,26</t>
  </si>
  <si>
    <t>Enable existing testing scripts, so changes can be verified before merging again.</t>
  </si>
  <si>
    <t>SCRUM-44</t>
  </si>
  <si>
    <t>https://github.com/USYD-CS-Capstone/hej/pull/4</t>
  </si>
  <si>
    <t>hej-api (backend)</t>
  </si>
  <si>
    <t>G1</t>
  </si>
  <si>
    <t>Users now can only perform actions that the role allowed them to do.</t>
  </si>
  <si>
    <t>SCRUM-29</t>
  </si>
  <si>
    <t>https://github.com/USYD-CS-Capstone/hej/pull/6</t>
  </si>
  <si>
    <t>D2</t>
  </si>
  <si>
    <t>2</t>
  </si>
  <si>
    <t>AI provider &amp; failures</t>
  </si>
  <si>
    <t>Annotation failure and the fake bounding-box fallback; integrate labeling_ai_assistnat_mvp</t>
  </si>
  <si>
    <t>Retires the legacy review mutation endpoints that allowed approval history to be changed or deleted without updating the corresponding task-item state.</t>
  </si>
  <si>
    <t>SCRUM-30</t>
  </si>
  <si>
    <t>https://github.com/USYD-CS-Capstone/hej/pull/7</t>
  </si>
  <si>
    <t>hej-web (frontend)</t>
  </si>
  <si>
    <t>Contribution by member</t>
  </si>
  <si>
    <t>PRs merged</t>
  </si>
  <si>
    <t>PRs reviewed</t>
  </si>
  <si>
    <t>Features</t>
  </si>
  <si>
    <t>Defect fixes</t>
  </si>
  <si>
    <t>Tests / docs</t>
  </si>
  <si>
    <t>Stories completed</t>
  </si>
  <si>
    <t>First merge</t>
  </si>
  <si>
    <t>Last merge</t>
  </si>
  <si>
    <t>Share of PRs</t>
  </si>
  <si>
    <t>With SCRUM-7;  ...</t>
  </si>
  <si>
    <t>SCRUM-6</t>
  </si>
  <si>
    <t>https://github.com/USYD-CS-Capstone/hej/pull/8</t>
  </si>
  <si>
    <t>3</t>
  </si>
  <si>
    <t>Project setup &amp; status UI</t>
  </si>
  <si>
    <t>Project / policy / task update, dataset upload, status page</t>
  </si>
  <si>
    <t>labeling_ai_assistnat_mvp (AI)</t>
  </si>
  <si>
    <t>C1</t>
  </si>
  <si>
    <t>SCRUM-22</t>
  </si>
  <si>
    <t>https://github.com/USYD-CS-Capstone/hej/pull/9</t>
  </si>
  <si>
    <t>G4</t>
  </si>
  <si>
    <t>Fixed task status validation and updated the allowed final statuses.</t>
  </si>
  <si>
    <t>Set the two dates below. Everything else recalculates for that period - ready to paste into the Status Checking form or the weekly client meeting.</t>
  </si>
  <si>
    <t>Reporting period starts</t>
  </si>
  <si>
    <t>SCRUM-23</t>
  </si>
  <si>
    <t>B5</t>
  </si>
  <si>
    <t>&lt;- type the two dates here</t>
  </si>
  <si>
    <t>Reporting period ends</t>
  </si>
  <si>
    <t>This period at a glance</t>
  </si>
  <si>
    <t>4</t>
  </si>
  <si>
    <t>Task &amp; item backend</t>
  </si>
  <si>
    <t>Delivery by epic, this period</t>
  </si>
  <si>
    <t>Illegal item status, cross-project writes, non-transactional task registration, missing transition out of draft, task-item routes and services</t>
  </si>
  <si>
    <t>Preserved task lifecycle conflict responses as HTTP 409 instead of returning 500 errors.</t>
  </si>
  <si>
    <t>SCRUM-81</t>
  </si>
  <si>
    <t>https://github.com/USYD-CS-Capstone/hej/pull/10</t>
  </si>
  <si>
    <t>Stories done</t>
  </si>
  <si>
    <t>Members who merged</t>
  </si>
  <si>
    <t>A3</t>
  </si>
  <si>
    <t>23, 24</t>
  </si>
  <si>
    <t>With SCRUM-84;  ...</t>
  </si>
  <si>
    <t>Kanishka Kathait</t>
  </si>
  <si>
    <t>SCRUM-34</t>
  </si>
  <si>
    <t>https://github.com/USYD-CS-Capstone/hej/pull/11</t>
  </si>
  <si>
    <t>5</t>
  </si>
  <si>
    <t>Annotation page &amp; judgement</t>
  </si>
  <si>
    <t>Annotation page with judgement feedback or justification</t>
  </si>
  <si>
    <t>Made dataset registration transactional to prevent partial data when AI fails. Added success and rollback tests.</t>
  </si>
  <si>
    <t>SCRUM-25</t>
  </si>
  <si>
    <t>https://github.com/USYD-CS-Capstone/hej/pull/13</t>
  </si>
  <si>
    <t>D6</t>
  </si>
  <si>
    <t>Enfored draft ownership (1 item - 1 annotator) unfinished draft belongs to its author, otherwise read-only.</t>
  </si>
  <si>
    <t>SCRUM-21</t>
  </si>
  <si>
    <t>https://github.com/USYD-CS-Capstone/hej/pull/14</t>
  </si>
  <si>
    <t>G3</t>
  </si>
  <si>
    <t>6</t>
  </si>
  <si>
    <t>Draft ownership &amp; verdict</t>
  </si>
  <si>
    <t>Finalised annotation overwrite, draft ownership, judgement verdict and feedback</t>
  </si>
  <si>
    <t>Enforce project boundaries on task writes</t>
  </si>
  <si>
    <t>Tim Chung</t>
  </si>
  <si>
    <t>SCRUM-8</t>
  </si>
  <si>
    <t>https://github.com/USYD-CS-Capstone/hej/pull/16</t>
  </si>
  <si>
    <t>G5</t>
  </si>
  <si>
    <t>17, 18</t>
  </si>
  <si>
    <t>Backend only: registered users can be invited to an organisation and accept invitations successfully.</t>
  </si>
  <si>
    <t>SCRUM-35</t>
  </si>
  <si>
    <t>https://github.com/USYD-CS-Capstone/hej/pull/17</t>
  </si>
  <si>
    <t>E2</t>
  </si>
  <si>
    <t>User can  send an item back to the annotator</t>
  </si>
  <si>
    <t>SCRUM-31</t>
  </si>
  <si>
    <t>C5</t>
  </si>
  <si>
    <t>7</t>
  </si>
  <si>
    <t>Review, permissions &amp; dispute</t>
  </si>
  <si>
    <t>Reviewer correction, avoid self-review, review action, permission and dispute</t>
  </si>
  <si>
    <t>I can record why I decided, not just what I decided</t>
  </si>
  <si>
    <t>Dockerize the application</t>
  </si>
  <si>
    <t>https://github.com/USYD-CS-Capstone/hej/pull/18</t>
  </si>
  <si>
    <t>8</t>
  </si>
  <si>
    <t>Audit &amp; history</t>
  </si>
  <si>
    <t>Audit and history</t>
  </si>
  <si>
    <t>SCRUM-28</t>
  </si>
  <si>
    <t>https://github.com/USYD-CS-Capstone/hej/pull/19</t>
  </si>
  <si>
    <t>D5</t>
  </si>
  <si>
    <t>A finalised task item will not be mistakenly overwritten.</t>
  </si>
  <si>
    <t>SCRUM-2</t>
  </si>
  <si>
    <r>
      <rPr>
        <rFont val="Calibri"/>
        <color rgb="FF0000FF"/>
        <sz val="10.0"/>
      </rPr>
      <t xml:space="preserve"> </t>
    </r>
    <r>
      <rPr>
        <rFont val="Calibri"/>
        <color rgb="FF0000FF"/>
        <sz val="10.0"/>
        <u/>
      </rPr>
      <t>https://github.com/USYD-CS-Capstone/hej/pull/20</t>
    </r>
  </si>
  <si>
    <t>Documentation</t>
  </si>
  <si>
    <t>Docs / report</t>
  </si>
  <si>
    <t>Two proposal design docs for story C2</t>
  </si>
  <si>
    <t>SCRUM-1</t>
  </si>
  <si>
    <r>
      <rPr>
        <rFont val="Calibri"/>
        <color rgb="FF0000FF"/>
        <sz val="10.0"/>
        <u/>
      </rPr>
      <t xml:space="preserve"> </t>
    </r>
    <r>
      <rPr>
        <rFont val="Calibri"/>
        <color rgb="FF0000FF"/>
        <sz val="10.0"/>
        <u/>
      </rPr>
      <t>https://github.com/USYD-CS-Capstone/hej/pull/21</t>
    </r>
  </si>
  <si>
    <t>9</t>
  </si>
  <si>
    <t>Release &amp; export</t>
  </si>
  <si>
    <t>Release and export</t>
  </si>
  <si>
    <t>Database / schema</t>
  </si>
  <si>
    <t>Adds the two tables designed in #20: ai_batch_jobs and ai_item_jobs</t>
  </si>
  <si>
    <t>Defect-fix PRs</t>
  </si>
  <si>
    <r>
      <rPr>
        <rFont val="Calibri"/>
        <color rgb="FF0000FF"/>
        <sz val="10.0"/>
      </rPr>
      <t xml:space="preserve"> </t>
    </r>
    <r>
      <rPr>
        <rFont val="Calibri"/>
        <color rgb="FF0000FF"/>
        <sz val="10.0"/>
        <u/>
      </rPr>
      <t>https://github.com/USYD-CS-Capstone/hej/pull/22</t>
    </r>
  </si>
  <si>
    <t>Unallocated</t>
  </si>
  <si>
    <t>Not in the allocation document. Assign these before they become a surprise.</t>
  </si>
  <si>
    <t>Moves the AI model call out of the dataset-registration request and into a worker process</t>
  </si>
  <si>
    <t>SCRUM-26</t>
  </si>
  <si>
    <t>https://github.com/USYD-CS-Capstone/hej/pull/23</t>
  </si>
  <si>
    <t>Make draft submission atomic; a transaction is all or nothing.</t>
  </si>
  <si>
    <t>W7</t>
  </si>
  <si>
    <t>SCRUM-94</t>
  </si>
  <si>
    <t>https://github.com/USYD-CS-Capstone/hej/pull/24</t>
  </si>
  <si>
    <t>Infrastructure: run on PostgreSQL while keeping SQLite working</t>
  </si>
  <si>
    <t>A</t>
  </si>
  <si>
    <t>PostgreSQL is now the default database for native and Docker development. SQLite can still be selected explicitly through DATABASE_URL</t>
  </si>
  <si>
    <t>Co-reviewed with Yi Geng.</t>
  </si>
  <si>
    <t>SCRUM-20</t>
  </si>
  <si>
    <t xml:space="preserve">https://github.com/USYD-CS-Capstone/hej/pull/25 </t>
  </si>
  <si>
    <t>B2</t>
  </si>
  <si>
    <t>D</t>
  </si>
  <si>
    <t>Adds a project-level review and annotation policy layer between organisation defaults and task overrides.</t>
  </si>
  <si>
    <t>Committed scope</t>
  </si>
  <si>
    <t>Done counts what the board says is done. A story with no ticket cannot be done.</t>
  </si>
  <si>
    <t>By epic</t>
  </si>
  <si>
    <t>Priority</t>
  </si>
  <si>
    <t>On board</t>
  </si>
  <si>
    <t>SCRUM-43</t>
  </si>
  <si>
    <t>% done</t>
  </si>
  <si>
    <t>https://github.com/USYD-CS-Capstone/hej/pull/26</t>
  </si>
  <si>
    <t>P0 - committed core</t>
  </si>
  <si>
    <t>B6</t>
  </si>
  <si>
    <t>B</t>
  </si>
  <si>
    <t>14, 19, 27</t>
  </si>
  <si>
    <t>Aligned task completion and export rules so only canonicalized items are treated as final and eligible for export. Centralised the eligibility check and updated the related tests.</t>
  </si>
  <si>
    <t>https://github.com/USYD-CS-Capstone/hej/pull/27</t>
  </si>
  <si>
    <t>Scrum-6 completed, implement Custom task &amp; label definition &amp; label list upload &amp; schema driven AI output &amp; label editing in project policy page</t>
  </si>
  <si>
    <t>A - Trustworthy Foundations</t>
  </si>
  <si>
    <t>Feature PRs</t>
  </si>
  <si>
    <t>P1</t>
  </si>
  <si>
    <t>https://github.com/USYD-CS-Capstone/hej/pull/28</t>
  </si>
  <si>
    <t>W8</t>
  </si>
  <si>
    <t>SCRUM-46</t>
  </si>
  <si>
    <t>https://github.com/USYD-CS-Capstone/hej/pull/29</t>
  </si>
  <si>
    <t>B - Setting Up Work</t>
  </si>
  <si>
    <t>P2 - nice to have</t>
  </si>
  <si>
    <t>SCRUM-3</t>
  </si>
  <si>
    <t>https://github.com/USYD-CS-Capstone/hej/pull/30</t>
  </si>
  <si>
    <t>C - AI-Assisted First Pass</t>
  </si>
  <si>
    <t>All stories</t>
  </si>
  <si>
    <t>D - Review &amp; Cross-Validation</t>
  </si>
  <si>
    <t>E - Disagreement &amp; Dispute</t>
  </si>
  <si>
    <t>F - Provenance &amp; History</t>
  </si>
  <si>
    <t>G - Roles, Permissions &amp; Organisations</t>
  </si>
  <si>
    <t>H - Release &amp; Export</t>
  </si>
  <si>
    <t>I - Evaluation</t>
  </si>
  <si>
    <t>J - Organisations &amp; Dashboard</t>
  </si>
  <si>
    <t>PRs reviewed by a second person</t>
  </si>
  <si>
    <t>K - Evidence &amp; Handover</t>
  </si>
  <si>
    <t>Waiting for a ticket</t>
  </si>
  <si>
    <t>Committed stories with nothing on the board. Nobody is working on these, because there is nothing to pick up.</t>
  </si>
  <si>
    <t>None</t>
  </si>
  <si>
    <t>TOTAL</t>
  </si>
  <si>
    <t>Every committed story that is not dropped has at least one ticket on the board.</t>
  </si>
  <si>
    <t>Dropped</t>
  </si>
  <si>
    <t>6 stories the team dropped, so no ticket is expected: A1 A5 K1 K2 K3 K4</t>
  </si>
  <si>
    <t>Workload by person</t>
  </si>
  <si>
    <t>Issues assigned on the board, beside PRs actually logged. Both count the same eight people.</t>
  </si>
  <si>
    <t>Assigned</t>
  </si>
  <si>
    <t>In review</t>
  </si>
  <si>
    <t>In sprint</t>
  </si>
  <si>
    <t>Bundles touched</t>
  </si>
  <si>
    <t>PRs logged</t>
  </si>
  <si>
    <t>Reviews</t>
  </si>
  <si>
    <t>AI task queue, AI provider &amp; failures</t>
  </si>
  <si>
    <t>Annotation page &amp; judgement, Review, permissions &amp; dispute, AI task queue</t>
  </si>
  <si>
    <t>Project setup &amp; status UI, Task &amp; item backend, Draft ownership &amp; verdict, Review, permissions &amp; dispute, Unallocated</t>
  </si>
  <si>
    <t>TOTAL counts distinct stories, so it can be lower than the column above if two people finished the same story.</t>
  </si>
  <si>
    <t>PRs merged per week</t>
  </si>
  <si>
    <t>Weeks are calculated from the date merged. Blank weeks simply have nothing logged yet.</t>
  </si>
  <si>
    <t>Draft ownership &amp; verdict, Unallocated, Review, permissions &amp; dispute</t>
  </si>
  <si>
    <t>Unallocated, Audit &amp; history</t>
  </si>
  <si>
    <t>Total</t>
  </si>
  <si>
    <t>W1</t>
  </si>
  <si>
    <t>Task &amp; item backend, Audit &amp; history, Release &amp; export</t>
  </si>
  <si>
    <t>Task &amp; item backend, Annotation page &amp; judgement</t>
  </si>
  <si>
    <t>AI task queue, Project setup &amp; status UI</t>
  </si>
  <si>
    <t>Nobody assigned</t>
  </si>
  <si>
    <t>37 of 76 issues on the board have no owner - including every issue in Evaluation Harness and Casebook.</t>
  </si>
  <si>
    <t>Every issue on the board</t>
  </si>
  <si>
    <t>W2</t>
  </si>
  <si>
    <t>Issue</t>
  </si>
  <si>
    <t>Type</t>
  </si>
  <si>
    <t>Status</t>
  </si>
  <si>
    <t>Assignee</t>
  </si>
  <si>
    <t>Sprint</t>
  </si>
  <si>
    <t>Jira epic</t>
  </si>
  <si>
    <t>Summary</t>
  </si>
  <si>
    <t>Backlog story</t>
  </si>
  <si>
    <t>Matched from</t>
  </si>
  <si>
    <t>Task</t>
  </si>
  <si>
    <t>W7 Lock down review data</t>
  </si>
  <si>
    <t>AI Annotation Pipeline</t>
  </si>
  <si>
    <t>Task queue: Create AI batch job and per-item job status models</t>
  </si>
  <si>
    <t>description</t>
  </si>
  <si>
    <t>Task queue: Execute task annotation asynchronously through a worker</t>
  </si>
  <si>
    <t>In Review</t>
  </si>
  <si>
    <t>W8 Route work, record decision</t>
  </si>
  <si>
    <t>Task queue: Retry failed items and preserve permanent failures</t>
  </si>
  <si>
    <t>SCRUM-5</t>
  </si>
  <si>
    <t>To Do</t>
  </si>
  <si>
    <t>Task queue: Display batch progress and per-item job status</t>
  </si>
  <si>
    <t>Annotation &amp; Human Judgement</t>
  </si>
  <si>
    <t>AI-Provider: Integrate labeling_ai_assistnat_mvp as an AI provider</t>
  </si>
  <si>
    <t>W3</t>
  </si>
  <si>
    <t>SCRUM-7</t>
  </si>
  <si>
    <t>W6 Governance &amp; data-integrity</t>
  </si>
  <si>
    <t>AI-Provider: Stop generating fake annotations when the AI provider fails</t>
  </si>
  <si>
    <t>Organisation Management</t>
  </si>
  <si>
    <t>Organisation management:  Invitation &amp; acceptance</t>
  </si>
  <si>
    <t>Project, Policy &amp; Task Lifecycle</t>
  </si>
  <si>
    <t>Project &amp; Policy: Configure project review and annotation policies</t>
  </si>
  <si>
    <t>Task Lifecycle: Prevent cross-project task and task-item writes</t>
  </si>
  <si>
    <t>Task Lifecycle: Validate task-item status before database commit</t>
  </si>
  <si>
    <t>Task Lifecycle: Preserve lifecycle conflict responses as HTTP 409</t>
  </si>
  <si>
    <t>W4</t>
  </si>
  <si>
    <t>SCRUM-24</t>
  </si>
  <si>
    <t>Task Lifecycle: Implement valid task lifecycle transitions</t>
  </si>
  <si>
    <t>B4</t>
  </si>
  <si>
    <t>Annotation: Enforce draft ownership</t>
  </si>
  <si>
    <t>Annotation: Make draft submission and annotation creation atomic</t>
  </si>
  <si>
    <t>SCRUM-27</t>
  </si>
  <si>
    <t>Review, Dispute &amp; Adjudication</t>
  </si>
  <si>
    <t>Review / Annotation: Reviewer should be able to select the correct submitted annotation</t>
  </si>
  <si>
    <t>D4</t>
  </si>
  <si>
    <t>Annotation: Preventing finalized annotations from being overwritten</t>
  </si>
  <si>
    <t>Review: Retire or restrict legacy review mutation endpoints</t>
  </si>
  <si>
    <t>AI-Provider: Store &amp; Display AI suggestions, failures and unavailable states</t>
  </si>
  <si>
    <t>Review: Record verdict, feedback &amp; justification</t>
  </si>
  <si>
    <t>SCRUM-32</t>
  </si>
  <si>
    <t>W5</t>
  </si>
  <si>
    <t>W9</t>
  </si>
  <si>
    <t>Review: Persist reviewer corrections as structured data</t>
  </si>
  <si>
    <t>D3</t>
  </si>
  <si>
    <t>Task Lifecycle: Make dataset registration transactional</t>
  </si>
  <si>
    <t>Dispute / Annotation: Implement "Dispute &amp; send back to annotator"</t>
  </si>
  <si>
    <t>SCRUM-37</t>
  </si>
  <si>
    <t>Provenance &amp; Audit History</t>
  </si>
  <si>
    <t>Provenance: Guarantee one canonical answer per task item</t>
  </si>
  <si>
    <t>H4</t>
  </si>
  <si>
    <t>SCRUM-38</t>
  </si>
  <si>
    <t>Provenance: Preserve AI, annotator, reviewer and adjudicator outputs separately</t>
  </si>
  <si>
    <t>F3</t>
  </si>
  <si>
    <t>SCRUM-40</t>
  </si>
  <si>
    <t>Provenance: Record correct audit actor types</t>
  </si>
  <si>
    <t>F4</t>
  </si>
  <si>
    <t>SCRUM-41</t>
  </si>
  <si>
    <t>Provenance: Remove duplicate escalation audit changes</t>
  </si>
  <si>
    <t>W6</t>
  </si>
  <si>
    <t>Dataset Release &amp; Export</t>
  </si>
  <si>
    <t>Release &amp; Export: Align task completion and export readiness</t>
  </si>
  <si>
    <t>B6, H5</t>
  </si>
  <si>
    <t>Organisation Management: Users can only perform actions that are permitted by their roles.</t>
  </si>
  <si>
    <t>backlog CSV</t>
  </si>
  <si>
    <t>SCRUM-45</t>
  </si>
  <si>
    <t>Project lifecycle: Update and archive a project</t>
  </si>
  <si>
    <t>J4</t>
  </si>
  <si>
    <t>Task queue: Trigger an AI run and route completed items to review</t>
  </si>
  <si>
    <t>SCRUM-47</t>
  </si>
  <si>
    <t>Annotation: Connect the existing text annotation page to live APIs</t>
  </si>
  <si>
    <t>SCRUM-48</t>
  </si>
  <si>
    <t>In Progress</t>
  </si>
  <si>
    <t>Work queues: role-checked queues, annotator count and submission limit (API)</t>
  </si>
  <si>
    <t>D8</t>
  </si>
  <si>
    <t>SCRUM-49</t>
  </si>
  <si>
    <t>Review: Execute accept, adjust, reject and dispute transitions</t>
  </si>
  <si>
    <t>C5, D3, E1</t>
  </si>
  <si>
    <t>SCRUM-50</t>
  </si>
  <si>
    <t>Policy: Resolve project policy into executable task rules</t>
  </si>
  <si>
    <t>B2, G2</t>
  </si>
  <si>
    <t>SCRUM-51</t>
  </si>
  <si>
    <t>Review: Independent second reviewer</t>
  </si>
  <si>
    <t>D7, E1</t>
  </si>
  <si>
    <t>SCRUM-52</t>
  </si>
  <si>
    <t>Dispute: Adjudicator queue and authorization</t>
  </si>
  <si>
    <t>D8, E3, E6, G1</t>
  </si>
  <si>
    <t>SCRUM-53</t>
  </si>
  <si>
    <t>Provenance: Version guidelines, sources and review policies</t>
  </si>
  <si>
    <t>F2</t>
  </si>
  <si>
    <t>SCRUM-54</t>
  </si>
  <si>
    <t>Subtask</t>
  </si>
  <si>
    <t xml:space="preserve">    Define the AnnotationAssistant interface</t>
  </si>
  <si>
    <t>parent ticket</t>
  </si>
  <si>
    <t>SCRUM-55</t>
  </si>
  <si>
    <t xml:space="preserve">    Replace the Gemini call with an OpenAI-compatible client</t>
  </si>
  <si>
    <t>SCRUM-56</t>
  </si>
  <si>
    <t xml:space="preserve">    Port the MVP's four text tasks behind the interface</t>
  </si>
  <si>
    <t>SCRUM-68</t>
  </si>
  <si>
    <t>Mid-semester Break</t>
  </si>
  <si>
    <t>Evaluation Harness and Casebook</t>
  </si>
  <si>
    <t>Evaluation1: Scenario harness that drives the workflow end to end</t>
  </si>
  <si>
    <t>I1</t>
  </si>
  <si>
    <t>SCRUM-69</t>
  </si>
  <si>
    <t>Evaluation2: Repeatable runs and regression reporting</t>
  </si>
  <si>
    <t>SCRUM-70</t>
  </si>
  <si>
    <t>Evaluation3: Casebook structure and the adversarial categories</t>
  </si>
  <si>
    <t>I2</t>
  </si>
  <si>
    <t>SCRUM-71</t>
  </si>
  <si>
    <t>Evaluation4: Grow the casebook to 40–60 cases</t>
  </si>
  <si>
    <t>SCRUM-72</t>
  </si>
  <si>
    <t>Evaluation5: Reviewer agreement and AI suggestion quality</t>
  </si>
  <si>
    <t>I3</t>
  </si>
  <si>
    <t>SCRUM-73</t>
  </si>
  <si>
    <t>Evaluation6: Measure AI influence on human judgement, with blind-then-reveal</t>
  </si>
  <si>
    <t>I4</t>
  </si>
  <si>
    <t>SCRUM-74</t>
  </si>
  <si>
    <t>Evaluation7: Integrity checks on provenance, roles and releases</t>
  </si>
  <si>
    <t>I5</t>
  </si>
  <si>
    <t>Break</t>
  </si>
  <si>
    <t>SCRUM-75</t>
  </si>
  <si>
    <t>Evaluation8: Findings record including negative results</t>
  </si>
  <si>
    <t>Trustworthy Foundations</t>
  </si>
  <si>
    <t>Schema: Fix db setup issues</t>
  </si>
  <si>
    <t>Schema: Restore existing testcases</t>
  </si>
  <si>
    <t>Individual contribution, this period</t>
  </si>
  <si>
    <t>SCRUM-84</t>
  </si>
  <si>
    <t>Schema: Replace hardcoded credentials</t>
  </si>
  <si>
    <t>A4</t>
  </si>
  <si>
    <t>SCRUM-85</t>
  </si>
  <si>
    <t>Task lifecycle: Create annotation and judgement tasks with a result shape</t>
  </si>
  <si>
    <t>B3</t>
  </si>
  <si>
    <t>SCRUM-86</t>
  </si>
  <si>
    <t>Review: Prevent self-review of own annotations</t>
  </si>
  <si>
    <t>D1</t>
  </si>
  <si>
    <t>SCRUM-87</t>
  </si>
  <si>
    <t>AI assist: Human-only and AI-first task modes</t>
  </si>
  <si>
    <t>C4</t>
  </si>
  <si>
    <t>SCRUM-88</t>
  </si>
  <si>
    <t>Organisation Management: Stable organisation identifier and URL</t>
  </si>
  <si>
    <t>J1</t>
  </si>
  <si>
    <t>SCRUM-89</t>
  </si>
  <si>
    <t>Project: Overview of status and progress</t>
  </si>
  <si>
    <t>J2</t>
  </si>
  <si>
    <t>SCRUM-90</t>
  </si>
  <si>
    <t>Organisation Management: Invite, remove and role-manage members</t>
  </si>
  <si>
    <t>J3</t>
  </si>
  <si>
    <t>SCRUM-91</t>
  </si>
  <si>
    <t>Project lifecycle: Create a project scoped to an organisation</t>
  </si>
  <si>
    <t>B1</t>
  </si>
  <si>
    <t>SCRUM-92</t>
  </si>
  <si>
    <t xml:space="preserve">    Update the annotation editing page to ensure that the output results of MVP can be compatible with the existing interface of Hej.</t>
  </si>
  <si>
    <t>SCRUM-93</t>
  </si>
  <si>
    <t>Work queues: available-work list, progress and submission limit (WEB)</t>
  </si>
  <si>
    <t>SCRUM-95</t>
  </si>
  <si>
    <t xml:space="preserve">    Add definition settings to labels field</t>
  </si>
  <si>
    <t>SCRUM-96</t>
  </si>
  <si>
    <t xml:space="preserve">    Enable label list file upload</t>
  </si>
  <si>
    <t>SCRUM-97</t>
  </si>
  <si>
    <t>W10</t>
  </si>
  <si>
    <t xml:space="preserve">    enable custom task with user-defined instructions, output-type and schema</t>
  </si>
  <si>
    <t>SCRUM-98</t>
  </si>
  <si>
    <t>Provenance: Record the production history of every label</t>
  </si>
  <si>
    <t>F1</t>
  </si>
  <si>
    <t>SCRUM-99</t>
  </si>
  <si>
    <t>Dispute: Record an expert adjudication as its own decision</t>
  </si>
  <si>
    <t>E3</t>
  </si>
  <si>
    <t>SCRUM-100</t>
  </si>
  <si>
    <t>Dispute: Keep the disagreement after the dispute is resolved</t>
  </si>
  <si>
    <t>E4</t>
  </si>
  <si>
    <t>SCRUM-101</t>
  </si>
  <si>
    <t>Dispute: Detect reviewer disagreement automatically</t>
  </si>
  <si>
    <t>E1</t>
  </si>
  <si>
    <t>SCRUM-102</t>
  </si>
  <si>
    <t>Release: Create an immutable release artefact</t>
  </si>
  <si>
    <t>H1</t>
  </si>
  <si>
    <t>SCRUM-103</t>
  </si>
  <si>
    <t>Dispute: Connect the dispute and arbitration screens</t>
  </si>
  <si>
    <t>E6</t>
  </si>
  <si>
    <t>SCRUM-104</t>
  </si>
  <si>
    <t>Release: Produce a manifest for every release</t>
  </si>
  <si>
    <t>H2</t>
  </si>
  <si>
    <t>W11</t>
  </si>
  <si>
    <t>SCRUM-105</t>
  </si>
  <si>
    <t>Release: Refuse a release that fails its pre-release checks</t>
  </si>
  <si>
    <t>H3</t>
  </si>
  <si>
    <t>SCRUM-106</t>
  </si>
  <si>
    <t>Provenance: Show an item's whole timeline on one screen</t>
  </si>
  <si>
    <t>F5</t>
  </si>
  <si>
    <t>SCRUM-107</t>
  </si>
  <si>
    <t>Dispute: Make the escalation posture configurable and enforced</t>
  </si>
  <si>
    <t>E5</t>
  </si>
  <si>
    <t>SCRUM-108</t>
  </si>
  <si>
    <t>Release: Show real releases, policy and history on the project screens</t>
  </si>
  <si>
    <t>H6</t>
  </si>
  <si>
    <t>SCRUM-109</t>
  </si>
  <si>
    <t>Review: Review actions always move item status, and state cannot diverge from history</t>
  </si>
  <si>
    <t>Reviews given</t>
  </si>
  <si>
    <t>W12</t>
  </si>
  <si>
    <t>Where the work went</t>
  </si>
  <si>
    <t>Review health</t>
  </si>
  <si>
    <t>PRs with a named reviewer</t>
  </si>
  <si>
    <t>PRs reviewed by their own author</t>
  </si>
  <si>
    <t>Rows with no reviewer recorded</t>
  </si>
  <si>
    <t>Rows with no story linked</t>
  </si>
  <si>
    <t>Rows missing a plain-English summary</t>
  </si>
  <si>
    <t>Members</t>
  </si>
  <si>
    <t>Week 1 Monday</t>
  </si>
  <si>
    <t>Role</t>
  </si>
  <si>
    <t>SCRUM ticket(s)</t>
  </si>
  <si>
    <t>Starts</t>
  </si>
  <si>
    <t>Ends</t>
  </si>
  <si>
    <t>Jira status</t>
  </si>
  <si>
    <t>(not tied to a backlog story)</t>
  </si>
  <si>
    <t>Check this date once, then leave it alone.</t>
  </si>
  <si>
    <t>A1</t>
  </si>
  <si>
    <t>P0</t>
  </si>
  <si>
    <t>Lead</t>
  </si>
  <si>
    <t>Changes are reviewed before they reach the platform</t>
  </si>
  <si>
    <t>Every Week number is counted from here.</t>
  </si>
  <si>
    <t>packages/ui</t>
  </si>
  <si>
    <t>C</t>
  </si>
  <si>
    <t>SC</t>
  </si>
  <si>
    <t>I can trust that a fix in one place hasn't broken another</t>
  </si>
  <si>
    <t>To check it: look at the week calendar in columns T-V.</t>
  </si>
  <si>
    <t>Tests</t>
  </si>
  <si>
    <t>I can get a working copy of the platform running by myself</t>
  </si>
  <si>
    <t>W6 should read Mon 7 Sep 2026, and W12 should be the last week. The mid-semester break (28 Sep) is its own week, Break.</t>
  </si>
  <si>
    <t>E</t>
  </si>
  <si>
    <t>Platform credentials aren't sitting in shared code</t>
  </si>
  <si>
    <t>Spike / Research</t>
  </si>
  <si>
    <t>F</t>
  </si>
  <si>
    <t>A5</t>
  </si>
  <si>
    <t>A status means the same thing wherever I see it</t>
  </si>
  <si>
    <t>G</t>
  </si>
  <si>
    <t>BE/FE</t>
  </si>
  <si>
    <t>I can create a project to hold related work</t>
  </si>
  <si>
    <t>H</t>
  </si>
  <si>
    <t>BE</t>
  </si>
  <si>
    <t>I can decide how carefully my project's work gets reviewed</t>
  </si>
  <si>
    <t>SCRUM-20, SCRUM-50</t>
  </si>
  <si>
    <t>In progress</t>
  </si>
  <si>
    <t>I</t>
  </si>
  <si>
    <t>I can create a task for a specific piece of work</t>
  </si>
  <si>
    <t>J</t>
  </si>
  <si>
    <t>My task moves through real states, not just “draft”</t>
  </si>
  <si>
    <t>K</t>
  </si>
  <si>
    <t>Loading a dataset either works or leaves nothing behind</t>
  </si>
  <si>
    <t>SCRUM-23, SCRUM-34</t>
  </si>
  <si>
    <t>“Done” means the same thing everywhere I look</t>
  </si>
  <si>
    <t>The AI assistant can be swapped without disrupting my work</t>
  </si>
  <si>
    <t>A large batch of items gets AI-annotated reliably</t>
  </si>
  <si>
    <t>SCRUM-1, SCRUM-2, SCRUM-3, SCRUM-5, SCRUM-46, SCRUM-94</t>
  </si>
  <si>
    <t>End</t>
  </si>
  <si>
    <t>I'm told when the AI failed instead of being shown a fake answer</t>
  </si>
  <si>
    <t>SCRUM-7, SCRUM-30</t>
  </si>
  <si>
    <t>Project ends at the close of W12.</t>
  </si>
  <si>
    <t>I can control whether reviewers see the AI's answer first</t>
  </si>
  <si>
    <t>SCRUM-31, SCRUM-49</t>
  </si>
  <si>
    <t>I can't approve my own work</t>
  </si>
  <si>
    <t>Approval history can't be rewritten behind my back</t>
  </si>
  <si>
    <t>SCRUM-29, SCRUM-109</t>
  </si>
  <si>
    <t>The correction I make is the answer that gets saved</t>
  </si>
  <si>
    <t>SCRUM-32, SCRUM-49</t>
  </si>
  <si>
    <t>I know I'm reviewing the right person's work</t>
  </si>
  <si>
    <t>Finalised means finalised</t>
  </si>
  <si>
    <t>SCRUM-26, SCRUM-28</t>
  </si>
  <si>
    <t>My unfinished work is mine</t>
  </si>
  <si>
    <t>D7</t>
  </si>
  <si>
    <t>A defined share of items gets independently double-checked</t>
  </si>
  <si>
    <t>Work reaches the right person</t>
  </si>
  <si>
    <t>SCRUM-48, SCRUM-52, SCRUM-93</t>
  </si>
  <si>
    <t>Disagreement is noticed without anyone reporting it</t>
  </si>
  <si>
    <t>SCRUM-49, SCRUM-51, SCRUM-101</t>
  </si>
  <si>
    <t>FE</t>
  </si>
  <si>
    <t>I can send an item back to the annotator</t>
  </si>
  <si>
    <t>An expert's decision is recorded as its own decision</t>
  </si>
  <si>
    <t>SCRUM-52, SCRUM-99</t>
  </si>
  <si>
    <t>Resolving a dispute doesn't erase the disagreement</t>
  </si>
  <si>
    <t>Escalation matches the assurance my project needs</t>
  </si>
  <si>
    <t>The dispute and arbitration screens show my real cases</t>
  </si>
  <si>
    <t>SCRUM-52, SCRUM-103</t>
  </si>
  <si>
    <t>I can ask how any label came to exist</t>
  </si>
  <si>
    <t>Annotations remember which guideline they followed</t>
  </si>
  <si>
    <t>The AI's suggestion, the human's answer and the reviewer's correction stay separate</t>
  </si>
  <si>
    <t>History tells me who really did what</t>
  </si>
  <si>
    <t>SCRUM-40, SCRUM-41</t>
  </si>
  <si>
    <t>I can see an item's whole story on one screen</t>
  </si>
  <si>
    <t>My role determines what I can do</t>
  </si>
  <si>
    <t>SCRUM-44, SCRUM-52</t>
  </si>
  <si>
    <t>G2</t>
  </si>
  <si>
    <t>My project's governance posture actually governs</t>
  </si>
  <si>
    <t>My work stays inside my project</t>
  </si>
  <si>
    <t>BE/SC</t>
  </si>
  <si>
    <t>The platform refuses states that can't exist</t>
  </si>
  <si>
    <t>I can actually invite someone into my organisation</t>
  </si>
  <si>
    <t>A release is a fixed thing I can point at</t>
  </si>
  <si>
    <t>Every release explains what's in it</t>
  </si>
  <si>
    <t>A release that shouldn't exist is refused</t>
  </si>
  <si>
    <t>Every released item has exactly one authoritative answer</t>
  </si>
  <si>
    <t>H5</t>
  </si>
  <si>
    <t>Export figures agree with the rest of the platform</t>
  </si>
  <si>
    <t>The export, policy and history screens show real data</t>
  </si>
  <si>
    <t>GOV</t>
  </si>
  <si>
    <t>I can re-run the whole workflow against known cases</t>
  </si>
  <si>
    <t>SCRUM-68, SCRUM-69</t>
  </si>
  <si>
    <t>The platform is tested against cases designed to break it</t>
  </si>
  <si>
    <t>SCRUM-70, SCRUM-71</t>
  </si>
  <si>
    <t>I can tell whether reviewers actually agree</t>
  </si>
  <si>
    <t>I can see what AI assistance does to human judgement</t>
  </si>
  <si>
    <t>I can prove the platform's records hold up</t>
  </si>
  <si>
    <t>SCRUM-74, SCRUM-75</t>
  </si>
  <si>
    <t>P2</t>
  </si>
  <si>
    <t>My organisation has a stable identity</t>
  </si>
  <si>
    <t>I can see how my project is going at a glance</t>
  </si>
  <si>
    <t>I can invite and manage my team</t>
  </si>
  <si>
    <t>I can maintain a project after creating it</t>
  </si>
  <si>
    <t>K1</t>
  </si>
  <si>
    <t>A reader can understand the system without us in the room</t>
  </si>
  <si>
    <t>all</t>
  </si>
  <si>
    <t>Each of us can defend our own design decisions</t>
  </si>
  <si>
    <t>K3</t>
  </si>
  <si>
    <t>What didn't work is recorded as carefully as what did</t>
  </si>
  <si>
    <t>K4</t>
  </si>
  <si>
    <t>The end-to-end demonstration works when it matters</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</si>
</sst>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m\-dd"/>
    <numFmt numFmtId="165" formatCode="yyyy-mm-dd"/>
    <numFmt numFmtId="166" formatCode="ddd\ d\ mmm\ yyyy"/>
  </numFmts>
  <fonts count="17">
    <font>
      <sz val="11.0"/>
      <color theme="1"/>
      <name val="Calibri"/>
      <scheme val="minor"/>
    </font>
    <font>
      <b/>
      <sz val="16.0"/>
      <color rgb="FF1F3A5F"/>
      <name val="Calibri"/>
    </font>
    <font>
      <i/>
      <sz val="10.0"/>
      <color rgb="FF555555"/>
      <name val="Calibri"/>
    </font>
    <font>
      <b/>
      <sz val="10.0"/>
      <color rgb="FFFFFFFF"/>
      <name val="Calibri"/>
    </font>
    <font>
      <b/>
      <sz val="12.0"/>
      <color rgb="FF1F3A5F"/>
      <name val="Calibri"/>
    </font>
    <font>
      <b/>
      <sz val="9.0"/>
      <color rgb="FFFFFFFF"/>
      <name val="Calibri"/>
    </font>
    <font>
      <sz val="10.0"/>
      <color theme="1"/>
      <name val="Calibri"/>
    </font>
    <font/>
    <font>
      <b/>
      <sz val="10.0"/>
      <color theme="1"/>
      <name val="Calibri"/>
    </font>
    <font>
      <b/>
      <sz val="20.0"/>
      <color rgb="FF1F3A5F"/>
      <name val="Calibri"/>
    </font>
    <font>
      <i/>
      <sz val="9.0"/>
      <color rgb="FF666666"/>
      <name val="Calibri"/>
    </font>
    <font>
      <u/>
      <sz val="10.0"/>
      <color rgb="FF0000FF"/>
      <name val="Calibri"/>
    </font>
    <font>
      <sz val="10.0"/>
      <color rgb="FF1F2328"/>
      <name val="Calibri"/>
    </font>
    <font>
      <color theme="1"/>
      <name val="Calibri"/>
    </font>
    <font>
      <b/>
      <sz val="11.0"/>
      <color rgb="FFB04A00"/>
      <name val="Calibri"/>
    </font>
    <font>
      <u/>
      <sz val="10.0"/>
      <color rgb="FF0000FF"/>
    </font>
    <font>
      <u/>
      <sz val="10.0"/>
      <color rgb="FF0000FF"/>
      <name val="Calibri"/>
    </font>
  </fonts>
  <fills count="9">
    <fill>
      <patternFill patternType="none"/>
    </fill>
    <fill>
      <patternFill patternType="lightGray"/>
    </fill>
    <fill>
      <patternFill patternType="solid">
        <fgColor rgb="FF1F3A5F"/>
        <bgColor rgb="FF1F3A5F"/>
      </patternFill>
    </fill>
    <fill>
      <patternFill patternType="solid">
        <fgColor rgb="FF4A6785"/>
        <bgColor rgb="FF4A6785"/>
      </patternFill>
    </fill>
    <fill>
      <patternFill patternType="solid">
        <fgColor rgb="FFE8ECF1"/>
        <bgColor rgb="FFE8ECF1"/>
      </patternFill>
    </fill>
    <fill>
      <patternFill patternType="solid">
        <fgColor rgb="FFF2F5F8"/>
        <bgColor rgb="FFF2F5F8"/>
      </patternFill>
    </fill>
    <fill>
      <patternFill patternType="solid">
        <fgColor rgb="FFFFFFFF"/>
        <bgColor rgb="FFFFFFFF"/>
      </patternFill>
    </fill>
    <fill>
      <patternFill patternType="solid">
        <fgColor rgb="FFFBF7EC"/>
        <bgColor rgb="FFFBF7EC"/>
      </patternFill>
    </fill>
    <fill>
      <patternFill patternType="solid">
        <fgColor rgb="FFD7EAD9"/>
        <bgColor rgb="FFD7EAD9"/>
      </patternFill>
    </fill>
  </fills>
  <borders count="11">
    <border/>
    <border>
      <left style="thin">
        <color rgb="FFC9D2DC"/>
      </left>
      <right style="thin">
        <color rgb="FFC9D2DC"/>
      </right>
      <top style="thin">
        <color rgb="FFC9D2DC"/>
      </top>
      <bottom style="thin">
        <color rgb="FFC9D2DC"/>
      </bottom>
    </border>
    <border>
      <left/>
      <top/>
      <bottom/>
    </border>
    <border>
      <top/>
      <bottom/>
    </border>
    <border>
      <left/>
      <right/>
      <top/>
      <bottom/>
    </border>
    <border>
      <left style="thin">
        <color rgb="FFC9D2DC"/>
      </left>
      <top style="thin">
        <color rgb="FFC9D2DC"/>
      </top>
      <bottom style="thin">
        <color rgb="FFC9D2DC"/>
      </bottom>
    </border>
    <border>
      <right style="thin">
        <color rgb="FFC9D2DC"/>
      </right>
      <top style="thin">
        <color rgb="FFC9D2DC"/>
      </top>
      <bottom style="thin">
        <color rgb="FFC9D2DC"/>
      </bottom>
    </border>
    <border>
      <left style="thin">
        <color rgb="FF000000"/>
      </left>
      <right style="thin">
        <color rgb="FF000000"/>
      </right>
      <top style="thin">
        <color rgb="FF000000"/>
      </top>
      <bottom style="thin">
        <color rgb="FF000000"/>
      </bottom>
    </border>
    <border>
      <top style="thin">
        <color rgb="FFC9D2DC"/>
      </top>
      <bottom style="thin">
        <color rgb="FFC9D2DC"/>
      </bottom>
    </border>
    <border>
      <bottom style="thin">
        <color rgb="FFC9D2DC"/>
      </bottom>
    </border>
    <border>
      <right style="thin">
        <color rgb="FFC9D2DC"/>
      </right>
      <bottom style="thin">
        <color rgb="FFC9D2DC"/>
      </bottom>
    </border>
  </borders>
  <cellStyleXfs count="1">
    <xf borderId="0" fillId="0" fontId="0" numFmtId="0" applyAlignment="1" applyFont="1"/>
  </cellStyleXfs>
  <cellXfs count="78">
    <xf borderId="0" fillId="0" fontId="0" numFmtId="0" xfId="0" applyAlignment="1" applyFont="1">
      <alignment readingOrder="0" shrinkToFit="0" vertical="bottom" wrapText="0"/>
    </xf>
    <xf borderId="0" fillId="0" fontId="1" numFmtId="0" xfId="0" applyFont="1"/>
    <xf borderId="0" fillId="0" fontId="1" numFmtId="0" xfId="0" applyAlignment="1" applyFont="1">
      <alignment shrinkToFit="0" vertical="top" wrapText="1"/>
    </xf>
    <xf borderId="0" fillId="0" fontId="2" numFmtId="0" xfId="0" applyFont="1"/>
    <xf borderId="1" fillId="2" fontId="3" numFmtId="0" xfId="0" applyAlignment="1" applyBorder="1" applyFill="1" applyFont="1">
      <alignment horizontal="center" shrinkToFit="0" vertical="center" wrapText="1"/>
    </xf>
    <xf borderId="0" fillId="0" fontId="2" numFmtId="0" xfId="0" applyAlignment="1" applyFont="1">
      <alignment shrinkToFit="0" vertical="top" wrapText="1"/>
    </xf>
    <xf borderId="1" fillId="3" fontId="3" numFmtId="0" xfId="0" applyAlignment="1" applyBorder="1" applyFill="1" applyFont="1">
      <alignment horizontal="center" shrinkToFit="0" vertical="center" wrapText="1"/>
    </xf>
    <xf borderId="0" fillId="0" fontId="4" numFmtId="0" xfId="0" applyAlignment="1" applyFont="1">
      <alignment shrinkToFit="0" vertical="top" wrapText="1"/>
    </xf>
    <xf borderId="2" fillId="3" fontId="5" numFmtId="0" xfId="0" applyAlignment="1" applyBorder="1" applyFill="1" applyFont="1">
      <alignment horizontal="center" vertical="center"/>
    </xf>
    <xf borderId="0" fillId="0" fontId="6" numFmtId="0" xfId="0" applyAlignment="1" applyFont="1">
      <alignment shrinkToFit="0" vertical="top" wrapText="1"/>
    </xf>
    <xf borderId="1" fillId="3" fontId="3" numFmtId="0" xfId="0" applyAlignment="1" applyBorder="1" applyFill="1" applyFont="1">
      <alignment horizontal="left" shrinkToFit="0" vertical="center" wrapText="1"/>
    </xf>
    <xf borderId="3" fillId="0" fontId="7" numFmtId="0" xfId="0" applyBorder="1" applyFont="1"/>
    <xf borderId="1" fillId="2" fontId="3" numFmtId="0" xfId="0" applyAlignment="1" applyBorder="1" applyFill="1" applyFont="1">
      <alignment horizontal="left" shrinkToFit="0" vertical="center" wrapText="1"/>
    </xf>
    <xf borderId="4" fillId="4" fontId="8" numFmtId="0" xfId="0" applyAlignment="1" applyBorder="1" applyFill="1" applyFont="1">
      <alignment shrinkToFit="0" vertical="top" wrapText="1"/>
    </xf>
    <xf borderId="1" fillId="0" fontId="6" numFmtId="164" xfId="0" applyAlignment="1" applyBorder="1" applyFont="1" applyNumberFormat="1">
      <alignment horizontal="center" vertical="top"/>
    </xf>
    <xf borderId="2" fillId="5" fontId="9" numFmtId="0" xfId="0" applyAlignment="1" applyBorder="1" applyFill="1" applyFont="1">
      <alignment horizontal="center" vertical="center"/>
    </xf>
    <xf borderId="0" fillId="0" fontId="4" numFmtId="0" xfId="0" applyFont="1"/>
    <xf borderId="0" fillId="0" fontId="10" numFmtId="0" xfId="0" applyFont="1"/>
    <xf borderId="1" fillId="5" fontId="6" numFmtId="0" xfId="0" applyAlignment="1" applyBorder="1" applyFill="1" applyFont="1">
      <alignment horizontal="center" vertical="center"/>
    </xf>
    <xf borderId="1" fillId="0" fontId="6" numFmtId="0" xfId="0" applyAlignment="1" applyBorder="1" applyFont="1">
      <alignment horizontal="center" vertical="top"/>
    </xf>
    <xf borderId="5" fillId="2" fontId="3" numFmtId="0" xfId="0" applyAlignment="1" applyBorder="1" applyFill="1" applyFont="1">
      <alignment horizontal="center" shrinkToFit="0" vertical="center" wrapText="1"/>
    </xf>
    <xf borderId="6" fillId="0" fontId="7" numFmtId="0" xfId="0" applyBorder="1" applyFont="1"/>
    <xf borderId="1" fillId="4" fontId="8" numFmtId="0" xfId="0" applyAlignment="1" applyBorder="1" applyFill="1" applyFont="1">
      <alignment horizontal="center" vertical="center"/>
    </xf>
    <xf borderId="1" fillId="0" fontId="6" numFmtId="0" xfId="0" applyAlignment="1" applyBorder="1" applyFont="1">
      <alignment horizontal="center" vertical="center"/>
    </xf>
    <xf borderId="1" fillId="0" fontId="8" numFmtId="0" xfId="0" applyAlignment="1" applyBorder="1" applyFont="1">
      <alignment shrinkToFit="0" vertical="center" wrapText="1"/>
    </xf>
    <xf borderId="2" fillId="5" fontId="9" numFmtId="1" xfId="0" applyAlignment="1" applyBorder="1" applyFill="1" applyFont="1" applyNumberFormat="1">
      <alignment horizontal="center" vertical="center"/>
    </xf>
    <xf borderId="5" fillId="0" fontId="10" numFmtId="0" xfId="0" applyAlignment="1" applyBorder="1" applyFont="1">
      <alignment shrinkToFit="0" vertical="top" wrapText="1"/>
    </xf>
    <xf borderId="1" fillId="0" fontId="6" numFmtId="0" xfId="0" applyAlignment="1" applyBorder="1" applyFont="1">
      <alignment shrinkToFit="0" vertical="top" wrapText="1"/>
    </xf>
    <xf borderId="1" fillId="0" fontId="11" numFmtId="0" xfId="0" applyAlignment="1" applyBorder="1" applyFont="1">
      <alignment horizontal="center" vertical="top"/>
    </xf>
    <xf borderId="0" fillId="0" fontId="10" numFmtId="0" xfId="0" applyAlignment="1" applyFont="1">
      <alignment shrinkToFit="0" vertical="top" wrapText="1"/>
    </xf>
    <xf borderId="1" fillId="5" fontId="6" numFmtId="0" xfId="0" applyAlignment="1" applyBorder="1" applyFill="1" applyFont="1">
      <alignment horizontal="left" shrinkToFit="0" vertical="top" wrapText="1"/>
    </xf>
    <xf borderId="1" fillId="0" fontId="6" numFmtId="0" xfId="0" applyAlignment="1" applyBorder="1" applyFont="1">
      <alignment horizontal="left" shrinkToFit="0" vertical="top" wrapText="1"/>
    </xf>
    <xf borderId="1" fillId="0" fontId="6" numFmtId="0" xfId="0" applyAlignment="1" applyBorder="1" applyFont="1">
      <alignment horizontal="left" vertical="top"/>
    </xf>
    <xf borderId="1" fillId="0" fontId="6" numFmtId="0" xfId="0" applyAlignment="1" applyBorder="1" applyFont="1">
      <alignment horizontal="center" shrinkToFit="0" vertical="top" wrapText="1"/>
    </xf>
    <xf borderId="0" fillId="6" fontId="12" numFmtId="0" xfId="0" applyAlignment="1" applyFill="1" applyFont="1">
      <alignment horizontal="left"/>
    </xf>
    <xf borderId="1" fillId="4" fontId="8" numFmtId="0" xfId="0" applyAlignment="1" applyBorder="1" applyFill="1" applyFont="1">
      <alignment vertical="center"/>
    </xf>
    <xf borderId="0" fillId="0" fontId="13" numFmtId="0" xfId="0" applyAlignment="1" applyFont="1">
      <alignment horizontal="center"/>
    </xf>
    <xf borderId="0" fillId="0" fontId="6" numFmtId="0" xfId="0" applyAlignment="1" applyFont="1">
      <alignment horizontal="center"/>
    </xf>
    <xf borderId="0" fillId="0" fontId="6" numFmtId="0" xfId="0" applyAlignment="1" applyFont="1">
      <alignment horizontal="left"/>
    </xf>
    <xf borderId="1" fillId="4" fontId="8" numFmtId="0" xfId="0" applyBorder="1" applyFill="1" applyFont="1"/>
    <xf borderId="1" fillId="7" fontId="14" numFmtId="164" xfId="0" applyAlignment="1" applyBorder="1" applyFill="1" applyFont="1" applyNumberFormat="1">
      <alignment horizontal="center" vertical="center"/>
    </xf>
    <xf borderId="1" fillId="0" fontId="6" numFmtId="0" xfId="0" applyBorder="1" applyFont="1"/>
    <xf borderId="1" fillId="0" fontId="6" numFmtId="164" xfId="0" applyAlignment="1" applyBorder="1" applyFont="1" applyNumberFormat="1">
      <alignment horizontal="center" vertical="center"/>
    </xf>
    <xf borderId="1" fillId="5" fontId="8" numFmtId="1" xfId="0" applyAlignment="1" applyBorder="1" applyFill="1" applyFont="1" applyNumberFormat="1">
      <alignment horizontal="center" vertical="center"/>
    </xf>
    <xf borderId="7" fillId="2" fontId="3" numFmtId="0" xfId="0" applyAlignment="1" applyBorder="1" applyFill="1" applyFont="1">
      <alignment horizontal="center" shrinkToFit="0" vertical="center" wrapText="1"/>
    </xf>
    <xf borderId="1" fillId="0" fontId="6" numFmtId="9" xfId="0" applyAlignment="1" applyBorder="1" applyFont="1" applyNumberFormat="1">
      <alignment horizontal="center" vertical="center"/>
    </xf>
    <xf borderId="7" fillId="0" fontId="6" numFmtId="0" xfId="0" applyBorder="1" applyFont="1"/>
    <xf borderId="7" fillId="0" fontId="6" numFmtId="0" xfId="0" applyAlignment="1" applyBorder="1" applyFont="1">
      <alignment horizontal="center" vertical="center"/>
    </xf>
    <xf borderId="0" fillId="0" fontId="6" numFmtId="165" xfId="0" applyAlignment="1" applyFont="1" applyNumberFormat="1">
      <alignment horizontal="center"/>
    </xf>
    <xf borderId="0" fillId="0" fontId="15" numFmtId="0" xfId="0" applyAlignment="1" applyFont="1">
      <alignment horizontal="center"/>
    </xf>
    <xf borderId="0" fillId="0" fontId="6" numFmtId="0" xfId="0" applyFont="1"/>
    <xf borderId="1" fillId="5" fontId="8" numFmtId="9" xfId="0" applyAlignment="1" applyBorder="1" applyFill="1" applyFont="1" applyNumberFormat="1">
      <alignment horizontal="center" vertical="center"/>
    </xf>
    <xf borderId="1" fillId="0" fontId="6" numFmtId="0" xfId="0" applyAlignment="1" applyBorder="1" applyFont="1">
      <alignment horizontal="center" readingOrder="0" vertical="top"/>
    </xf>
    <xf borderId="1" fillId="0" fontId="6" numFmtId="0" xfId="0" applyAlignment="1" applyBorder="1" applyFont="1">
      <alignment horizontal="center" readingOrder="0" vertical="center"/>
    </xf>
    <xf borderId="1" fillId="0" fontId="16" numFmtId="0" xfId="0" applyAlignment="1" applyBorder="1" applyFont="1">
      <alignment horizontal="center" readingOrder="0" vertical="top"/>
    </xf>
    <xf borderId="1" fillId="8" fontId="8" numFmtId="0" xfId="0" applyAlignment="1" applyBorder="1" applyFill="1" applyFont="1">
      <alignment horizontal="center" vertical="center"/>
    </xf>
    <xf borderId="5" fillId="8" fontId="6" numFmtId="0" xfId="0" applyAlignment="1" applyBorder="1" applyFill="1" applyFont="1">
      <alignment shrinkToFit="0" vertical="top" wrapText="1"/>
    </xf>
    <xf borderId="8" fillId="0" fontId="7" numFmtId="0" xfId="0" applyBorder="1" applyFont="1"/>
    <xf borderId="9" fillId="0" fontId="10" numFmtId="0" xfId="0" applyAlignment="1" applyBorder="1" applyFont="1">
      <alignment shrinkToFit="0" vertical="top" wrapText="1"/>
    </xf>
    <xf borderId="9" fillId="0" fontId="7" numFmtId="0" xfId="0" applyBorder="1" applyFont="1"/>
    <xf borderId="10" fillId="0" fontId="7" numFmtId="0" xfId="0" applyBorder="1" applyFont="1"/>
    <xf borderId="1" fillId="0" fontId="8" numFmtId="0" xfId="0" applyAlignment="1" applyBorder="1" applyFont="1">
      <alignment horizontal="center" vertical="center"/>
    </xf>
    <xf borderId="1" fillId="0" fontId="10" numFmtId="0" xfId="0" applyAlignment="1" applyBorder="1" applyFont="1">
      <alignment shrinkToFit="0" vertical="top" wrapText="1"/>
    </xf>
    <xf borderId="1" fillId="4" fontId="8" numFmtId="1" xfId="0" applyAlignment="1" applyBorder="1" applyFill="1" applyFont="1" applyNumberFormat="1">
      <alignment horizontal="center" vertical="center"/>
    </xf>
    <xf borderId="5" fillId="4" fontId="10" numFmtId="0" xfId="0" applyAlignment="1" applyBorder="1" applyFill="1" applyFont="1">
      <alignment shrinkToFit="0" vertical="top" wrapText="1"/>
    </xf>
    <xf borderId="1" fillId="5" fontId="8" numFmtId="0" xfId="0" applyAlignment="1" applyBorder="1" applyFill="1" applyFont="1">
      <alignment horizontal="center" vertical="center"/>
    </xf>
    <xf borderId="1" fillId="0" fontId="10" numFmtId="0" xfId="0" applyAlignment="1" applyBorder="1" applyFont="1">
      <alignment horizontal="center" vertical="center"/>
    </xf>
    <xf borderId="0" fillId="0" fontId="3" numFmtId="0" xfId="0" applyAlignment="1" applyFont="1">
      <alignment horizontal="center" shrinkToFit="0" vertical="center" wrapText="1"/>
    </xf>
    <xf borderId="7" fillId="4" fontId="8" numFmtId="0" xfId="0" applyBorder="1" applyFill="1" applyFont="1"/>
    <xf borderId="0" fillId="0" fontId="6" numFmtId="0" xfId="0" applyAlignment="1" applyFont="1">
      <alignment horizontal="center" vertical="center"/>
    </xf>
    <xf borderId="4" fillId="2" fontId="3" numFmtId="0" xfId="0" applyBorder="1" applyFill="1" applyFont="1"/>
    <xf borderId="4" fillId="7" fontId="14" numFmtId="164" xfId="0" applyBorder="1" applyFill="1" applyFont="1" applyNumberFormat="1"/>
    <xf borderId="0" fillId="0" fontId="13" numFmtId="0" xfId="0" applyFont="1"/>
    <xf borderId="0" fillId="0" fontId="8" numFmtId="0" xfId="0" applyAlignment="1" applyFont="1">
      <alignment horizontal="center" vertical="center"/>
    </xf>
    <xf borderId="0" fillId="0" fontId="6" numFmtId="166" xfId="0" applyFont="1" applyNumberFormat="1"/>
    <xf borderId="0" fillId="0" fontId="8" numFmtId="0" xfId="0" applyFont="1"/>
    <xf borderId="0" fillId="0" fontId="8" numFmtId="166" xfId="0" applyFont="1" applyNumberFormat="1"/>
    <xf borderId="0" fillId="0" fontId="13" numFmtId="0" xfId="0" applyAlignment="1" applyFont="1">
      <alignment horizontal="left"/>
    </xf>
  </cellXfs>
  <cellStyles count="1">
    <cellStyle xfId="0" name="Normal" builtinId="0"/>
  </cellStyles>
  <dxfs count="4">
    <dxf>
      <font/>
      <fill>
        <patternFill patternType="solid">
          <fgColor rgb="FFD7EAD9"/>
          <bgColor rgb="FFD7EAD9"/>
        </patternFill>
      </fill>
      <border/>
    </dxf>
    <dxf>
      <font/>
      <fill>
        <patternFill patternType="solid">
          <fgColor rgb="FFFCEBCB"/>
          <bgColor rgb="FFFCEBCB"/>
        </patternFill>
      </fill>
      <border/>
    </dxf>
    <dxf>
      <font/>
      <fill>
        <patternFill patternType="solid">
          <fgColor rgb="FFDCE6F1"/>
          <bgColor rgb="FFDCE6F1"/>
        </patternFill>
      </fill>
      <border/>
    </dxf>
    <dxf>
      <font/>
      <fill>
        <patternFill patternType="solid">
          <fgColor rgb="FFF7D6D6"/>
          <bgColor rgb="FFF7D6D6"/>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0"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0" Type="http://schemas.openxmlformats.org/officeDocument/2006/relationships/hyperlink" Target="https://github.com/USYD-CS-Capstone/hej/pull/21" TargetMode="External"/><Relationship Id="rId22" Type="http://schemas.openxmlformats.org/officeDocument/2006/relationships/hyperlink" Target="https://github.com/USYD-CS-Capstone/hej/pull/23" TargetMode="External"/><Relationship Id="rId21" Type="http://schemas.openxmlformats.org/officeDocument/2006/relationships/hyperlink" Target="https://github.com/USYD-CS-Capstone/hej/pull/22" TargetMode="External"/><Relationship Id="rId24" Type="http://schemas.openxmlformats.org/officeDocument/2006/relationships/hyperlink" Target="https://github.com/USYD-CS-Capstone/hej/pull/25" TargetMode="External"/><Relationship Id="rId23" Type="http://schemas.openxmlformats.org/officeDocument/2006/relationships/hyperlink" Target="https://github.com/USYD-CS-Capstone/hej/pull/24" TargetMode="External"/><Relationship Id="rId1" Type="http://schemas.openxmlformats.org/officeDocument/2006/relationships/hyperlink" Target="https://github.com/USYD-CS-Capstone/hej/pull/1" TargetMode="External"/><Relationship Id="rId2" Type="http://schemas.openxmlformats.org/officeDocument/2006/relationships/hyperlink" Target="https://github.com/USYD-CS-Capstone/hej/pull/2" TargetMode="External"/><Relationship Id="rId3" Type="http://schemas.openxmlformats.org/officeDocument/2006/relationships/hyperlink" Target="https://github.com/USYD-CS-Capstone/hej/pull/1" TargetMode="External"/><Relationship Id="rId4" Type="http://schemas.openxmlformats.org/officeDocument/2006/relationships/hyperlink" Target="https://github.com/USYD-CS-Capstone/hej/pull/6" TargetMode="External"/><Relationship Id="rId9" Type="http://schemas.openxmlformats.org/officeDocument/2006/relationships/hyperlink" Target="https://github.com/USYD-CS-Capstone/hej/pull/10" TargetMode="External"/><Relationship Id="rId26" Type="http://schemas.openxmlformats.org/officeDocument/2006/relationships/hyperlink" Target="https://github.com/USYD-CS-Capstone/hej/pull/27" TargetMode="External"/><Relationship Id="rId25" Type="http://schemas.openxmlformats.org/officeDocument/2006/relationships/hyperlink" Target="https://github.com/USYD-CS-Capstone/hej/pull/26" TargetMode="External"/><Relationship Id="rId28" Type="http://schemas.openxmlformats.org/officeDocument/2006/relationships/hyperlink" Target="https://github.com/USYD-CS-Capstone/hej/pull/29" TargetMode="External"/><Relationship Id="rId27" Type="http://schemas.openxmlformats.org/officeDocument/2006/relationships/hyperlink" Target="https://github.com/USYD-CS-Capstone/hej/pull/28" TargetMode="External"/><Relationship Id="rId5" Type="http://schemas.openxmlformats.org/officeDocument/2006/relationships/hyperlink" Target="https://github.com/USYD-CS-Capstone/hej/pull/7" TargetMode="External"/><Relationship Id="rId6" Type="http://schemas.openxmlformats.org/officeDocument/2006/relationships/hyperlink" Target="https://github.com/USYD-CS-Capstone/hej/pull/8" TargetMode="External"/><Relationship Id="rId29" Type="http://schemas.openxmlformats.org/officeDocument/2006/relationships/hyperlink" Target="https://github.com/USYD-CS-Capstone/hej/pull/30" TargetMode="External"/><Relationship Id="rId7" Type="http://schemas.openxmlformats.org/officeDocument/2006/relationships/hyperlink" Target="https://github.com/USYD-CS-Capstone/hej/pull/9?utm_source=chatgpt.com" TargetMode="External"/><Relationship Id="rId8" Type="http://schemas.openxmlformats.org/officeDocument/2006/relationships/hyperlink" Target="https://github.com/USYD-CS-Capstone/hej/pull/9?utm_source=chatgpt.com" TargetMode="External"/><Relationship Id="rId30" Type="http://schemas.openxmlformats.org/officeDocument/2006/relationships/drawing" Target="../drawings/drawing2.xml"/><Relationship Id="rId11" Type="http://schemas.openxmlformats.org/officeDocument/2006/relationships/hyperlink" Target="https://github.com/USYD-CS-Capstone/hej/pull/13" TargetMode="External"/><Relationship Id="rId10" Type="http://schemas.openxmlformats.org/officeDocument/2006/relationships/hyperlink" Target="https://github.com/USYD-CS-Capstone/hej/pull/11" TargetMode="External"/><Relationship Id="rId13" Type="http://schemas.openxmlformats.org/officeDocument/2006/relationships/hyperlink" Target="https://github.com/USYD-CS-Capstone/hej/pull/16" TargetMode="External"/><Relationship Id="rId12" Type="http://schemas.openxmlformats.org/officeDocument/2006/relationships/hyperlink" Target="https://github.com/USYD-CS-Capstone/hej/pull/14" TargetMode="External"/><Relationship Id="rId15" Type="http://schemas.openxmlformats.org/officeDocument/2006/relationships/hyperlink" Target="https://github.com/USYD-CS-Capstone/hej/pull/17" TargetMode="External"/><Relationship Id="rId14" Type="http://schemas.openxmlformats.org/officeDocument/2006/relationships/hyperlink" Target="https://github.com/USYD-CS-Capstone/hej/pull/17" TargetMode="External"/><Relationship Id="rId17" Type="http://schemas.openxmlformats.org/officeDocument/2006/relationships/hyperlink" Target="https://github.com/USYD-CS-Capstone/hej/pull/18" TargetMode="External"/><Relationship Id="rId16" Type="http://schemas.openxmlformats.org/officeDocument/2006/relationships/hyperlink" Target="https://github.com/USYD-CS-Capstone/hej/pull/17" TargetMode="External"/><Relationship Id="rId19" Type="http://schemas.openxmlformats.org/officeDocument/2006/relationships/hyperlink" Target="https://github.com/USYD-CS-Capstone/hej/pull/20" TargetMode="External"/><Relationship Id="rId18" Type="http://schemas.openxmlformats.org/officeDocument/2006/relationships/hyperlink" Target="https://github.com/USYD-CS-Capstone/hej/pull/19"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2" width="26.0"/>
    <col customWidth="1" min="3" max="3" width="13.0"/>
    <col customWidth="1" min="4" max="5" width="16.0"/>
    <col customWidth="1" min="6" max="6" width="20.0"/>
    <col customWidth="1" min="7" max="7" width="9.0"/>
    <col customWidth="1" min="8" max="8" width="60.0"/>
    <col customWidth="1" min="9" max="9" width="22.0"/>
  </cols>
  <sheetData>
    <row r="1" ht="13.5" customHeight="1"/>
    <row r="2" ht="60.0" customHeight="1">
      <c r="B2" s="2" t="s">
        <v>1</v>
      </c>
    </row>
    <row r="3" ht="13.5" customHeight="1">
      <c r="B3" s="5" t="s">
        <v>7</v>
      </c>
    </row>
    <row r="4" ht="13.5" customHeight="1"/>
    <row r="5" ht="13.5" customHeight="1">
      <c r="B5" s="7" t="s">
        <v>10</v>
      </c>
    </row>
    <row r="6" ht="30.0" customHeight="1">
      <c r="C6" s="9" t="s">
        <v>16</v>
      </c>
    </row>
    <row r="7" ht="13.5" customHeight="1"/>
    <row r="8" ht="13.5" customHeight="1">
      <c r="B8" s="7" t="s">
        <v>22</v>
      </c>
    </row>
    <row r="9" ht="30.0" customHeight="1">
      <c r="B9" s="13" t="s">
        <v>27</v>
      </c>
      <c r="C9" s="9" t="s">
        <v>33</v>
      </c>
    </row>
    <row r="10" ht="30.0" customHeight="1">
      <c r="B10" s="13" t="s">
        <v>0</v>
      </c>
      <c r="C10" s="9" t="s">
        <v>35</v>
      </c>
    </row>
    <row r="11" ht="30.0" customHeight="1">
      <c r="B11" s="13" t="s">
        <v>2</v>
      </c>
      <c r="C11" s="9" t="s">
        <v>37</v>
      </c>
    </row>
    <row r="12" ht="30.0" customHeight="1">
      <c r="B12" s="13" t="s">
        <v>38</v>
      </c>
      <c r="C12" s="9" t="s">
        <v>39</v>
      </c>
    </row>
    <row r="13" ht="30.0" customHeight="1">
      <c r="B13" s="13" t="s">
        <v>40</v>
      </c>
      <c r="C13" s="9" t="s">
        <v>41</v>
      </c>
    </row>
    <row r="14" ht="13.5" customHeight="1"/>
    <row r="15" ht="13.5" customHeight="1">
      <c r="B15" s="7" t="s">
        <v>43</v>
      </c>
    </row>
    <row r="16" ht="27.75" customHeight="1">
      <c r="C16" s="9" t="s">
        <v>44</v>
      </c>
    </row>
    <row r="17" ht="13.5" customHeight="1">
      <c r="C17" s="9" t="s">
        <v>46</v>
      </c>
    </row>
    <row r="18" ht="13.5" customHeight="1">
      <c r="C18" s="9" t="s">
        <v>47</v>
      </c>
    </row>
    <row r="19" ht="13.5" customHeight="1">
      <c r="C19" s="9" t="s">
        <v>49</v>
      </c>
    </row>
    <row r="20" ht="13.5" customHeight="1">
      <c r="C20" s="9" t="s">
        <v>51</v>
      </c>
    </row>
    <row r="21" ht="13.5" customHeight="1">
      <c r="C21" s="9" t="s">
        <v>53</v>
      </c>
    </row>
    <row r="22" ht="13.5" customHeight="1">
      <c r="C22" s="9" t="s">
        <v>54</v>
      </c>
    </row>
    <row r="23" ht="13.5" customHeight="1">
      <c r="C23" s="9" t="s">
        <v>56</v>
      </c>
    </row>
    <row r="24" ht="13.5" customHeight="1">
      <c r="C24" s="9" t="s">
        <v>60</v>
      </c>
    </row>
    <row r="25" ht="13.5" customHeight="1"/>
    <row r="26" ht="13.5" customHeight="1">
      <c r="B26" s="7" t="s">
        <v>61</v>
      </c>
    </row>
    <row r="27" ht="13.5" customHeight="1">
      <c r="C27" s="9" t="s">
        <v>62</v>
      </c>
    </row>
    <row r="28" ht="13.5" customHeight="1">
      <c r="C28" s="9" t="s">
        <v>63</v>
      </c>
    </row>
    <row r="29" ht="13.5" customHeight="1">
      <c r="C29" s="9" t="s">
        <v>66</v>
      </c>
    </row>
    <row r="30" ht="13.5" customHeight="1">
      <c r="C30" s="9" t="s">
        <v>70</v>
      </c>
    </row>
    <row r="31" ht="13.5" customHeight="1">
      <c r="C31" s="9" t="s">
        <v>71</v>
      </c>
    </row>
    <row r="32" ht="13.5" customHeight="1">
      <c r="C32" s="9" t="s">
        <v>73</v>
      </c>
    </row>
    <row r="33" ht="13.5" customHeight="1"/>
    <row r="34" ht="13.5" customHeight="1">
      <c r="B34" s="7" t="s">
        <v>74</v>
      </c>
    </row>
    <row r="35" ht="31.5" customHeight="1">
      <c r="C35" s="6" t="s">
        <v>77</v>
      </c>
      <c r="D35" s="6" t="s">
        <v>11</v>
      </c>
      <c r="E35" s="6" t="s">
        <v>12</v>
      </c>
      <c r="F35" s="6" t="s">
        <v>18</v>
      </c>
      <c r="G35" s="6" t="s">
        <v>20</v>
      </c>
      <c r="H35" s="6" t="s">
        <v>26</v>
      </c>
      <c r="I35" s="6" t="s">
        <v>29</v>
      </c>
    </row>
    <row r="36" ht="30.0" customHeight="1">
      <c r="C36" s="27" t="s">
        <v>79</v>
      </c>
      <c r="D36" s="27" t="s">
        <v>80</v>
      </c>
      <c r="E36" s="27" t="s">
        <v>81</v>
      </c>
      <c r="F36" s="27" t="s">
        <v>82</v>
      </c>
      <c r="G36" s="27" t="s">
        <v>83</v>
      </c>
      <c r="H36" s="27" t="s">
        <v>84</v>
      </c>
      <c r="I36" s="27" t="s">
        <v>85</v>
      </c>
    </row>
    <row r="37" ht="30.0" customHeight="1">
      <c r="C37" s="27" t="s">
        <v>86</v>
      </c>
      <c r="D37" s="27" t="s">
        <v>58</v>
      </c>
      <c r="E37" s="27" t="s">
        <v>87</v>
      </c>
      <c r="F37" s="27" t="s">
        <v>88</v>
      </c>
      <c r="G37" s="27" t="s">
        <v>89</v>
      </c>
      <c r="H37" s="27" t="s">
        <v>90</v>
      </c>
      <c r="I37" s="27" t="s">
        <v>91</v>
      </c>
    </row>
    <row r="38" ht="30.0" customHeight="1">
      <c r="C38" s="27" t="s">
        <v>92</v>
      </c>
      <c r="D38" s="27" t="s">
        <v>93</v>
      </c>
      <c r="E38" s="27" t="s">
        <v>94</v>
      </c>
      <c r="F38" s="27" t="s">
        <v>95</v>
      </c>
      <c r="G38" s="27" t="s">
        <v>96</v>
      </c>
      <c r="H38" s="27" t="s">
        <v>97</v>
      </c>
      <c r="I38" s="27" t="s">
        <v>98</v>
      </c>
    </row>
    <row r="39" ht="13.5" customHeight="1">
      <c r="C39" s="29" t="s">
        <v>100</v>
      </c>
    </row>
    <row r="40" ht="13.5" customHeight="1"/>
    <row r="41" ht="13.5" customHeight="1">
      <c r="B41" s="7" t="s">
        <v>103</v>
      </c>
    </row>
    <row r="42" ht="13.5" customHeight="1">
      <c r="C42" s="9" t="s">
        <v>104</v>
      </c>
    </row>
    <row r="43" ht="13.5" customHeight="1">
      <c r="C43" s="9" t="s">
        <v>105</v>
      </c>
    </row>
    <row r="44" ht="13.5" customHeight="1">
      <c r="C44" s="9" t="s">
        <v>106</v>
      </c>
    </row>
    <row r="45" ht="13.5" customHeight="1">
      <c r="C45" s="9" t="s">
        <v>107</v>
      </c>
    </row>
    <row r="46" ht="13.5" customHeight="1">
      <c r="C46" s="9" t="s">
        <v>108</v>
      </c>
    </row>
    <row r="47" ht="13.5" customHeight="1">
      <c r="C47" s="9" t="s">
        <v>109</v>
      </c>
    </row>
    <row r="48" ht="13.5" customHeight="1"/>
    <row r="49" ht="13.5" customHeight="1">
      <c r="B49" s="7"/>
    </row>
    <row r="50" ht="13.5" customHeight="1">
      <c r="C50" s="9"/>
    </row>
    <row r="51" ht="13.5" customHeight="1">
      <c r="C51" s="9"/>
    </row>
    <row r="52" ht="13.5" customHeight="1">
      <c r="C52" s="9"/>
    </row>
    <row r="53" ht="13.5" customHeight="1">
      <c r="C53" s="9"/>
    </row>
    <row r="54" ht="13.5" customHeight="1">
      <c r="C54" s="9"/>
    </row>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3">
    <mergeCell ref="C6:I6"/>
    <mergeCell ref="C9:I9"/>
    <mergeCell ref="C10:I10"/>
    <mergeCell ref="C11:I11"/>
    <mergeCell ref="C12:I12"/>
    <mergeCell ref="C13:I13"/>
    <mergeCell ref="C16:I16"/>
    <mergeCell ref="C17:I17"/>
    <mergeCell ref="C18:I18"/>
    <mergeCell ref="C19:I19"/>
    <mergeCell ref="C20:I20"/>
    <mergeCell ref="C21:I21"/>
    <mergeCell ref="C22:I22"/>
    <mergeCell ref="C23:I23"/>
    <mergeCell ref="C24:I24"/>
    <mergeCell ref="C27:I27"/>
    <mergeCell ref="C28:I28"/>
    <mergeCell ref="C29:I29"/>
    <mergeCell ref="C30:I30"/>
    <mergeCell ref="C31:I31"/>
    <mergeCell ref="C32:I32"/>
    <mergeCell ref="C50:I50"/>
    <mergeCell ref="C51:I51"/>
    <mergeCell ref="C52:I52"/>
    <mergeCell ref="C53:I53"/>
    <mergeCell ref="C54:I54"/>
    <mergeCell ref="C39:I39"/>
    <mergeCell ref="C42:I42"/>
    <mergeCell ref="C43:I43"/>
    <mergeCell ref="C44:I44"/>
    <mergeCell ref="C45:I45"/>
    <mergeCell ref="C46:I46"/>
    <mergeCell ref="C47:I47"/>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3.0"/>
    <col customWidth="1" min="2" max="2" width="9.57"/>
    <col customWidth="1" min="3" max="4" width="18.0"/>
    <col customWidth="1" min="5" max="6" width="13.0"/>
    <col customWidth="1" min="7" max="7" width="8.0"/>
    <col customWidth="1" min="8" max="8" width="42.57"/>
    <col customWidth="1" min="9" max="9" width="19.0"/>
    <col customWidth="1" min="10" max="10" width="24.0"/>
    <col customWidth="1" min="11" max="11" width="10.0"/>
    <col customWidth="1" min="12" max="12" width="46.0"/>
    <col customWidth="1" min="13" max="13" width="7.86"/>
    <col customWidth="1" min="14" max="14" width="7.14"/>
    <col customWidth="1" min="15" max="15" width="14.0"/>
    <col customWidth="1" min="16" max="16" width="102.0"/>
    <col customWidth="1" min="17" max="17" width="22.0"/>
    <col customWidth="1" min="18" max="18" width="34.0"/>
    <col customWidth="1" min="19" max="26" width="8.71"/>
  </cols>
  <sheetData>
    <row r="1" ht="36.0" customHeight="1">
      <c r="A1" s="4" t="s">
        <v>4</v>
      </c>
      <c r="B1" s="6" t="s">
        <v>8</v>
      </c>
      <c r="C1" s="4" t="s">
        <v>11</v>
      </c>
      <c r="D1" s="4" t="s">
        <v>12</v>
      </c>
      <c r="E1" s="6" t="s">
        <v>13</v>
      </c>
      <c r="F1" s="4" t="s">
        <v>14</v>
      </c>
      <c r="G1" s="4" t="s">
        <v>15</v>
      </c>
      <c r="H1" s="4" t="s">
        <v>17</v>
      </c>
      <c r="I1" s="4" t="s">
        <v>18</v>
      </c>
      <c r="J1" s="4" t="s">
        <v>19</v>
      </c>
      <c r="K1" s="4" t="s">
        <v>20</v>
      </c>
      <c r="L1" s="10" t="s">
        <v>21</v>
      </c>
      <c r="M1" s="6" t="s">
        <v>23</v>
      </c>
      <c r="N1" s="6" t="s">
        <v>24</v>
      </c>
      <c r="O1" s="4" t="s">
        <v>25</v>
      </c>
      <c r="P1" s="12" t="s">
        <v>26</v>
      </c>
      <c r="Q1" s="12" t="s">
        <v>29</v>
      </c>
      <c r="R1" s="4" t="s">
        <v>30</v>
      </c>
    </row>
    <row r="2" ht="13.5" customHeight="1">
      <c r="A2" s="14">
        <v>46262.0</v>
      </c>
      <c r="B2" s="18" t="str">
        <f>IF(A2="","",IFERROR(LOOKUP(A2,Lists!$U$2:$U$14,Lists!$T$2:$T$14),""))</f>
        <v>W4</v>
      </c>
      <c r="C2" s="19" t="s">
        <v>58</v>
      </c>
      <c r="D2" s="19" t="s">
        <v>58</v>
      </c>
      <c r="E2" s="18" t="str">
        <f t="shared" ref="E2:E596" si="1">IF(OR(C2="",D2=""),"",IF(C2=D2,"SELF-REVIEW","OK"))</f>
        <v>SELF-REVIEW</v>
      </c>
      <c r="F2" s="19"/>
      <c r="G2" s="23">
        <v>1.0</v>
      </c>
      <c r="H2" s="28" t="s">
        <v>76</v>
      </c>
      <c r="I2" s="19" t="s">
        <v>99</v>
      </c>
      <c r="J2" s="19" t="s">
        <v>101</v>
      </c>
      <c r="K2" s="19" t="s">
        <v>102</v>
      </c>
      <c r="L2" s="30" t="str">
        <f>IFERROR(IF(K2="","",VLOOKUP(K2,Lists!$K$2:$O$61,5,FALSE)),"")</f>
        <v>(not tied to a backlog story)</v>
      </c>
      <c r="M2" s="18" t="str">
        <f>IFERROR(IF(K2="","",VLOOKUP(K2,Lists!$K$2:$O$61,2,FALSE)),"")</f>
        <v/>
      </c>
      <c r="N2" s="18" t="str">
        <f>IFERROR(IF(K2="","",VLOOKUP(K2,Lists!$K$2:$O$61,3,FALSE)),"")</f>
        <v/>
      </c>
      <c r="O2" s="19"/>
      <c r="P2" s="31" t="s">
        <v>110</v>
      </c>
      <c r="Q2" s="32" t="s">
        <v>98</v>
      </c>
      <c r="R2" s="33"/>
    </row>
    <row r="3" ht="14.25" customHeight="1">
      <c r="A3" s="14">
        <v>46272.0</v>
      </c>
      <c r="B3" s="18" t="str">
        <f>IF(A3="","",IFERROR(LOOKUP(A3,Lists!$U$2:$U$14,Lists!$T$2:$T$14),""))</f>
        <v>W6</v>
      </c>
      <c r="C3" s="19" t="s">
        <v>80</v>
      </c>
      <c r="D3" s="19" t="s">
        <v>111</v>
      </c>
      <c r="E3" s="18" t="str">
        <f t="shared" si="1"/>
        <v>OK</v>
      </c>
      <c r="F3" s="19" t="s">
        <v>112</v>
      </c>
      <c r="G3" s="23">
        <v>2.0</v>
      </c>
      <c r="H3" s="28" t="s">
        <v>113</v>
      </c>
      <c r="I3" s="19" t="s">
        <v>114</v>
      </c>
      <c r="J3" s="19" t="s">
        <v>115</v>
      </c>
      <c r="K3" s="19" t="s">
        <v>116</v>
      </c>
      <c r="L3" s="30" t="str">
        <f>IFERROR(IF(K3="","",VLOOKUP(K3,Lists!$K$2:$O$61,5,FALSE)),"")</f>
        <v>I can trust that a fix in one place hasn't broken another</v>
      </c>
      <c r="M3" s="18" t="str">
        <f>IFERROR(IF(K3="","",VLOOKUP(K3,Lists!$K$2:$O$61,2,FALSE)),"")</f>
        <v>A</v>
      </c>
      <c r="N3" s="18" t="str">
        <f>IFERROR(IF(K3="","",VLOOKUP(K3,Lists!$K$2:$O$61,3,FALSE)),"")</f>
        <v>P0</v>
      </c>
      <c r="O3" s="19" t="s">
        <v>117</v>
      </c>
      <c r="P3" s="31" t="s">
        <v>118</v>
      </c>
      <c r="Q3" s="32" t="s">
        <v>91</v>
      </c>
      <c r="R3" s="33"/>
    </row>
    <row r="4" ht="13.5" customHeight="1">
      <c r="A4" s="14">
        <v>46272.0</v>
      </c>
      <c r="B4" s="18" t="str">
        <f>IF(A4="","",IFERROR(LOOKUP(A4,Lists!$U$2:$U$14,Lists!$T$2:$T$14),""))</f>
        <v>W6</v>
      </c>
      <c r="C4" s="19" t="s">
        <v>111</v>
      </c>
      <c r="D4" s="19" t="s">
        <v>80</v>
      </c>
      <c r="E4" s="18" t="str">
        <f t="shared" si="1"/>
        <v>OK</v>
      </c>
      <c r="F4" s="19" t="s">
        <v>119</v>
      </c>
      <c r="G4" s="23">
        <v>4.0</v>
      </c>
      <c r="H4" s="28" t="s">
        <v>120</v>
      </c>
      <c r="I4" s="19" t="s">
        <v>82</v>
      </c>
      <c r="J4" s="19" t="s">
        <v>121</v>
      </c>
      <c r="K4" s="19" t="s">
        <v>122</v>
      </c>
      <c r="L4" s="30" t="str">
        <f>IFERROR(IF(K4="","",VLOOKUP(K4,Lists!$K$2:$O$61,5,FALSE)),"")</f>
        <v>My role determines what I can do</v>
      </c>
      <c r="M4" s="18" t="str">
        <f>IFERROR(IF(K4="","",VLOOKUP(K4,Lists!$K$2:$O$61,2,FALSE)),"")</f>
        <v>G</v>
      </c>
      <c r="N4" s="18" t="str">
        <f>IFERROR(IF(K4="","",VLOOKUP(K4,Lists!$K$2:$O$61,3,FALSE)),"")</f>
        <v>P0</v>
      </c>
      <c r="O4" s="19">
        <v>7.0</v>
      </c>
      <c r="P4" s="31" t="s">
        <v>123</v>
      </c>
      <c r="Q4" s="32" t="s">
        <v>91</v>
      </c>
      <c r="R4" s="33"/>
    </row>
    <row r="5" ht="13.5" customHeight="1">
      <c r="A5" s="14">
        <v>46277.0</v>
      </c>
      <c r="B5" s="18" t="str">
        <f>IF(A5="","",IFERROR(LOOKUP(A5,Lists!$U$2:$U$14,Lists!$T$2:$T$14),""))</f>
        <v>W6</v>
      </c>
      <c r="C5" s="19" t="s">
        <v>111</v>
      </c>
      <c r="D5" s="19" t="s">
        <v>80</v>
      </c>
      <c r="E5" s="18" t="str">
        <f t="shared" si="1"/>
        <v>OK</v>
      </c>
      <c r="F5" s="19" t="s">
        <v>124</v>
      </c>
      <c r="G5" s="23">
        <v>6.0</v>
      </c>
      <c r="H5" s="28" t="s">
        <v>125</v>
      </c>
      <c r="I5" s="19" t="s">
        <v>88</v>
      </c>
      <c r="J5" s="19" t="s">
        <v>121</v>
      </c>
      <c r="K5" s="19" t="s">
        <v>126</v>
      </c>
      <c r="L5" s="30" t="str">
        <f>IFERROR(IF(K5="","",VLOOKUP(K5,Lists!$K$2:$O$61,5,FALSE)),"")</f>
        <v>Approval history can't be rewritten behind my back</v>
      </c>
      <c r="M5" s="18" t="str">
        <f>IFERROR(IF(K5="","",VLOOKUP(K5,Lists!$K$2:$O$61,2,FALSE)),"")</f>
        <v>D</v>
      </c>
      <c r="N5" s="18" t="str">
        <f>IFERROR(IF(K5="","",VLOOKUP(K5,Lists!$K$2:$O$61,3,FALSE)),"")</f>
        <v>P0</v>
      </c>
      <c r="O5" s="19">
        <v>8.0</v>
      </c>
      <c r="P5" s="34" t="s">
        <v>130</v>
      </c>
      <c r="Q5" s="32" t="s">
        <v>91</v>
      </c>
      <c r="R5" s="27"/>
    </row>
    <row r="6" ht="12.75" customHeight="1">
      <c r="A6" s="14">
        <v>46277.0</v>
      </c>
      <c r="B6" s="18" t="str">
        <f>IF(A6="","",IFERROR(LOOKUP(A6,Lists!$U$2:$U$14,Lists!$T$2:$T$14),""))</f>
        <v>W6</v>
      </c>
      <c r="C6" s="19" t="s">
        <v>81</v>
      </c>
      <c r="D6" s="19" t="s">
        <v>58</v>
      </c>
      <c r="E6" s="18" t="str">
        <f t="shared" si="1"/>
        <v>OK</v>
      </c>
      <c r="F6" s="19" t="s">
        <v>131</v>
      </c>
      <c r="G6" s="23">
        <v>7.0</v>
      </c>
      <c r="H6" s="28" t="s">
        <v>132</v>
      </c>
      <c r="I6" s="19" t="s">
        <v>88</v>
      </c>
      <c r="J6" s="19" t="s">
        <v>133</v>
      </c>
      <c r="K6" s="19" t="s">
        <v>89</v>
      </c>
      <c r="L6" s="30" t="str">
        <f>IFERROR(IF(K6="","",VLOOKUP(K6,Lists!$K$2:$O$61,5,FALSE)),"")</f>
        <v>I'm told when the AI failed instead of being shown a fake answer</v>
      </c>
      <c r="M6" s="18" t="str">
        <f>IFERROR(IF(K6="","",VLOOKUP(K6,Lists!$K$2:$O$61,2,FALSE)),"")</f>
        <v>C</v>
      </c>
      <c r="N6" s="18" t="str">
        <f>IFERROR(IF(K6="","",VLOOKUP(K6,Lists!$K$2:$O$61,3,FALSE)),"")</f>
        <v>P0</v>
      </c>
      <c r="O6" s="19">
        <v>20.0</v>
      </c>
      <c r="P6" s="31" t="s">
        <v>144</v>
      </c>
      <c r="Q6" s="32" t="s">
        <v>91</v>
      </c>
      <c r="R6" s="33"/>
      <c r="S6" s="36"/>
      <c r="T6" s="36"/>
      <c r="U6" s="36"/>
      <c r="V6" s="36"/>
      <c r="W6" s="36"/>
      <c r="X6" s="36"/>
      <c r="Y6" s="36"/>
      <c r="Z6" s="36"/>
    </row>
    <row r="7" ht="12.75" customHeight="1">
      <c r="A7" s="14">
        <v>46277.0</v>
      </c>
      <c r="B7" s="18" t="str">
        <f>IF(A7="","",IFERROR(LOOKUP(A7,Lists!$U$2:$U$14,Lists!$T$2:$T$14),""))</f>
        <v>W6</v>
      </c>
      <c r="C7" s="19" t="s">
        <v>81</v>
      </c>
      <c r="D7" s="19" t="s">
        <v>58</v>
      </c>
      <c r="E7" s="18" t="str">
        <f t="shared" si="1"/>
        <v>OK</v>
      </c>
      <c r="F7" s="19" t="s">
        <v>145</v>
      </c>
      <c r="G7" s="23">
        <v>8.0</v>
      </c>
      <c r="H7" s="28" t="s">
        <v>146</v>
      </c>
      <c r="I7" s="19" t="s">
        <v>82</v>
      </c>
      <c r="J7" s="19" t="s">
        <v>150</v>
      </c>
      <c r="K7" s="19" t="s">
        <v>151</v>
      </c>
      <c r="L7" s="30" t="str">
        <f>IFERROR(IF(K7="","",VLOOKUP(K7,Lists!$K$2:$O$61,5,FALSE)),"")</f>
        <v>The AI assistant can be swapped without disrupting my work</v>
      </c>
      <c r="M7" s="18" t="str">
        <f>IFERROR(IF(K7="","",VLOOKUP(K7,Lists!$K$2:$O$61,2,FALSE)),"")</f>
        <v>C</v>
      </c>
      <c r="N7" s="18" t="str">
        <f>IFERROR(IF(K7="","",VLOOKUP(K7,Lists!$K$2:$O$61,3,FALSE)),"")</f>
        <v>P1</v>
      </c>
      <c r="O7" s="19" t="s">
        <v>102</v>
      </c>
      <c r="P7" s="31"/>
      <c r="Q7" s="32" t="s">
        <v>85</v>
      </c>
      <c r="R7" s="33"/>
      <c r="S7" s="36"/>
      <c r="T7" s="36"/>
      <c r="U7" s="36"/>
      <c r="V7" s="36"/>
      <c r="W7" s="36"/>
      <c r="X7" s="36"/>
      <c r="Y7" s="36"/>
      <c r="Z7" s="36"/>
    </row>
    <row r="8" ht="13.5" customHeight="1">
      <c r="A8" s="14">
        <v>46277.0</v>
      </c>
      <c r="B8" s="18" t="str">
        <f>IF(A8="","",IFERROR(LOOKUP(A8,Lists!$U$2:$U$14,Lists!$T$2:$T$14),""))</f>
        <v>W6</v>
      </c>
      <c r="C8" s="19" t="s">
        <v>87</v>
      </c>
      <c r="D8" s="19" t="s">
        <v>111</v>
      </c>
      <c r="E8" s="18" t="str">
        <f t="shared" si="1"/>
        <v>OK</v>
      </c>
      <c r="F8" s="19" t="s">
        <v>152</v>
      </c>
      <c r="G8" s="23">
        <v>9.0</v>
      </c>
      <c r="H8" s="28" t="s">
        <v>153</v>
      </c>
      <c r="I8" s="37" t="s">
        <v>88</v>
      </c>
      <c r="J8" s="37" t="s">
        <v>121</v>
      </c>
      <c r="K8" s="19" t="s">
        <v>154</v>
      </c>
      <c r="L8" s="30" t="str">
        <f>IFERROR(IF(K8="","",VLOOKUP(K8,Lists!$K$2:$O$61,5,FALSE)),"")</f>
        <v>The platform refuses states that can't exist</v>
      </c>
      <c r="M8" s="18" t="str">
        <f>IFERROR(IF(K8="","",VLOOKUP(K8,Lists!$K$2:$O$61,2,FALSE)),"")</f>
        <v>G</v>
      </c>
      <c r="N8" s="18" t="str">
        <f>IFERROR(IF(K8="","",VLOOKUP(K8,Lists!$K$2:$O$61,3,FALSE)),"")</f>
        <v>P1</v>
      </c>
      <c r="O8" s="19">
        <v>10.0</v>
      </c>
      <c r="P8" s="38" t="s">
        <v>155</v>
      </c>
      <c r="Q8" s="32" t="s">
        <v>91</v>
      </c>
      <c r="R8" s="33"/>
      <c r="S8" s="36"/>
      <c r="T8" s="36"/>
      <c r="U8" s="36"/>
      <c r="V8" s="36"/>
      <c r="W8" s="36"/>
      <c r="X8" s="36"/>
      <c r="Y8" s="36"/>
      <c r="Z8" s="36"/>
    </row>
    <row r="9" ht="13.5" customHeight="1">
      <c r="A9" s="14">
        <v>46277.0</v>
      </c>
      <c r="B9" s="18" t="str">
        <f>IF(A9="","",IFERROR(LOOKUP(A9,Lists!$U$2:$U$14,Lists!$T$2:$T$14),""))</f>
        <v>W6</v>
      </c>
      <c r="C9" s="19" t="s">
        <v>87</v>
      </c>
      <c r="D9" s="19" t="s">
        <v>111</v>
      </c>
      <c r="E9" s="18" t="str">
        <f t="shared" si="1"/>
        <v>OK</v>
      </c>
      <c r="F9" s="19" t="s">
        <v>158</v>
      </c>
      <c r="G9" s="23">
        <v>9.0</v>
      </c>
      <c r="H9" s="28" t="s">
        <v>153</v>
      </c>
      <c r="I9" s="19" t="s">
        <v>99</v>
      </c>
      <c r="J9" s="19" t="s">
        <v>121</v>
      </c>
      <c r="K9" s="19" t="s">
        <v>159</v>
      </c>
      <c r="L9" s="30" t="str">
        <f>IFERROR(IF(K9="","",VLOOKUP(K9,Lists!$K$2:$O$61,5,FALSE)),"")</f>
        <v>Loading a dataset either works or leaves nothing behind</v>
      </c>
      <c r="M9" s="18" t="str">
        <f>IFERROR(IF(K9="","",VLOOKUP(K9,Lists!$K$2:$O$61,2,FALSE)),"")</f>
        <v>B</v>
      </c>
      <c r="N9" s="18" t="str">
        <f>IFERROR(IF(K9="","",VLOOKUP(K9,Lists!$K$2:$O$61,3,FALSE)),"")</f>
        <v>P0</v>
      </c>
      <c r="O9" s="19">
        <v>29.0</v>
      </c>
      <c r="P9" s="38" t="s">
        <v>167</v>
      </c>
      <c r="Q9" s="32" t="s">
        <v>91</v>
      </c>
      <c r="R9" s="27"/>
    </row>
    <row r="10" ht="13.5" customHeight="1">
      <c r="A10" s="14">
        <v>46277.0</v>
      </c>
      <c r="B10" s="18" t="str">
        <f>IF(A10="","",IFERROR(LOOKUP(A10,Lists!$U$2:$U$14,Lists!$T$2:$T$14),""))</f>
        <v>W6</v>
      </c>
      <c r="C10" s="19" t="s">
        <v>81</v>
      </c>
      <c r="D10" s="19" t="s">
        <v>58</v>
      </c>
      <c r="E10" s="18" t="str">
        <f t="shared" si="1"/>
        <v>OK</v>
      </c>
      <c r="F10" s="19" t="s">
        <v>168</v>
      </c>
      <c r="G10" s="23">
        <v>10.0</v>
      </c>
      <c r="H10" s="28" t="s">
        <v>169</v>
      </c>
      <c r="I10" s="19" t="s">
        <v>88</v>
      </c>
      <c r="J10" s="19" t="s">
        <v>121</v>
      </c>
      <c r="K10" s="19" t="s">
        <v>172</v>
      </c>
      <c r="L10" s="30" t="str">
        <f>IFERROR(IF(K10="","",VLOOKUP(K10,Lists!$K$2:$O$61,5,FALSE)),"")</f>
        <v>I can get a working copy of the platform running by myself</v>
      </c>
      <c r="M10" s="18" t="str">
        <f>IFERROR(IF(K10="","",VLOOKUP(K10,Lists!$K$2:$O$61,2,FALSE)),"")</f>
        <v>A</v>
      </c>
      <c r="N10" s="18" t="str">
        <f>IFERROR(IF(K10="","",VLOOKUP(K10,Lists!$K$2:$O$61,3,FALSE)),"")</f>
        <v>P0</v>
      </c>
      <c r="O10" s="19" t="s">
        <v>173</v>
      </c>
      <c r="P10" s="31" t="s">
        <v>174</v>
      </c>
      <c r="Q10" s="32" t="s">
        <v>85</v>
      </c>
      <c r="R10" s="33"/>
      <c r="S10" s="36"/>
      <c r="T10" s="36"/>
      <c r="U10" s="36"/>
      <c r="V10" s="36"/>
      <c r="W10" s="36"/>
      <c r="X10" s="36"/>
      <c r="Y10" s="36"/>
      <c r="Z10" s="36"/>
    </row>
    <row r="11" ht="13.5" customHeight="1">
      <c r="A11" s="14">
        <v>46277.0</v>
      </c>
      <c r="B11" s="18" t="str">
        <f>IF(A11="","",IFERROR(LOOKUP(A11,Lists!$U$2:$U$14,Lists!$T$2:$T$14),""))</f>
        <v>W6</v>
      </c>
      <c r="C11" s="19" t="s">
        <v>175</v>
      </c>
      <c r="D11" s="19" t="s">
        <v>111</v>
      </c>
      <c r="E11" s="18" t="str">
        <f t="shared" si="1"/>
        <v>OK</v>
      </c>
      <c r="F11" s="19" t="s">
        <v>176</v>
      </c>
      <c r="G11" s="23">
        <v>11.0</v>
      </c>
      <c r="H11" s="28" t="s">
        <v>177</v>
      </c>
      <c r="I11" s="19" t="s">
        <v>88</v>
      </c>
      <c r="J11" s="19" t="s">
        <v>121</v>
      </c>
      <c r="K11" s="19" t="s">
        <v>159</v>
      </c>
      <c r="L11" s="30" t="str">
        <f>IFERROR(IF(K11="","",VLOOKUP(K11,Lists!$K$2:$O$61,5,FALSE)),"")</f>
        <v>Loading a dataset either works or leaves nothing behind</v>
      </c>
      <c r="M11" s="18" t="str">
        <f>IFERROR(IF(K11="","",VLOOKUP(K11,Lists!$K$2:$O$61,2,FALSE)),"")</f>
        <v>B</v>
      </c>
      <c r="N11" s="18" t="str">
        <f>IFERROR(IF(K11="","",VLOOKUP(K11,Lists!$K$2:$O$61,3,FALSE)),"")</f>
        <v>P0</v>
      </c>
      <c r="O11" s="19">
        <v>16.0</v>
      </c>
      <c r="P11" s="38" t="s">
        <v>181</v>
      </c>
      <c r="Q11" s="32" t="s">
        <v>85</v>
      </c>
      <c r="R11" s="27"/>
    </row>
    <row r="12" ht="13.5" customHeight="1">
      <c r="A12" s="14">
        <v>46277.0</v>
      </c>
      <c r="B12" s="18" t="str">
        <f>IF(A12="","",IFERROR(LOOKUP(A12,Lists!$U$2:$U$14,Lists!$T$2:$T$14),""))</f>
        <v>W6</v>
      </c>
      <c r="C12" s="19" t="s">
        <v>80</v>
      </c>
      <c r="D12" s="19" t="s">
        <v>58</v>
      </c>
      <c r="E12" s="18" t="str">
        <f t="shared" si="1"/>
        <v>OK</v>
      </c>
      <c r="F12" s="19" t="s">
        <v>182</v>
      </c>
      <c r="G12" s="23">
        <v>13.0</v>
      </c>
      <c r="H12" s="28" t="s">
        <v>183</v>
      </c>
      <c r="I12" s="19" t="s">
        <v>88</v>
      </c>
      <c r="J12" s="19" t="s">
        <v>133</v>
      </c>
      <c r="K12" s="19" t="s">
        <v>184</v>
      </c>
      <c r="L12" s="30" t="str">
        <f>IFERROR(IF(K12="","",VLOOKUP(K12,Lists!$K$2:$O$61,5,FALSE)),"")</f>
        <v>My unfinished work is mine</v>
      </c>
      <c r="M12" s="18" t="str">
        <f>IFERROR(IF(K12="","",VLOOKUP(K12,Lists!$K$2:$O$61,2,FALSE)),"")</f>
        <v>D</v>
      </c>
      <c r="N12" s="18" t="str">
        <f>IFERROR(IF(K12="","",VLOOKUP(K12,Lists!$K$2:$O$61,3,FALSE)),"")</f>
        <v>P0</v>
      </c>
      <c r="O12" s="19">
        <v>6.0</v>
      </c>
      <c r="P12" s="31" t="s">
        <v>185</v>
      </c>
      <c r="Q12" s="32" t="s">
        <v>91</v>
      </c>
      <c r="R12" s="27"/>
    </row>
    <row r="13" ht="13.5" customHeight="1">
      <c r="A13" s="14">
        <v>46278.0</v>
      </c>
      <c r="B13" s="18" t="str">
        <f>IF(A13="","",IFERROR(LOOKUP(A13,Lists!$U$2:$U$14,Lists!$T$2:$T$14),""))</f>
        <v>W6</v>
      </c>
      <c r="C13" s="19" t="s">
        <v>111</v>
      </c>
      <c r="D13" s="19" t="s">
        <v>81</v>
      </c>
      <c r="E13" s="18" t="str">
        <f t="shared" si="1"/>
        <v>OK</v>
      </c>
      <c r="F13" s="19" t="s">
        <v>186</v>
      </c>
      <c r="G13" s="23">
        <v>14.0</v>
      </c>
      <c r="H13" s="28" t="s">
        <v>187</v>
      </c>
      <c r="I13" s="19" t="s">
        <v>88</v>
      </c>
      <c r="J13" s="19" t="s">
        <v>121</v>
      </c>
      <c r="K13" s="19" t="s">
        <v>188</v>
      </c>
      <c r="L13" s="30" t="str">
        <f>IFERROR(IF(K13="","",VLOOKUP(K13,Lists!$K$2:$O$61,5,FALSE)),"")</f>
        <v>My work stays inside my project</v>
      </c>
      <c r="M13" s="18" t="str">
        <f>IFERROR(IF(K13="","",VLOOKUP(K13,Lists!$K$2:$O$61,2,FALSE)),"")</f>
        <v>G</v>
      </c>
      <c r="N13" s="18" t="str">
        <f>IFERROR(IF(K13="","",VLOOKUP(K13,Lists!$K$2:$O$61,3,FALSE)),"")</f>
        <v>P0</v>
      </c>
      <c r="O13" s="19">
        <v>9.0</v>
      </c>
      <c r="P13" s="31" t="s">
        <v>192</v>
      </c>
      <c r="Q13" s="32" t="s">
        <v>91</v>
      </c>
      <c r="R13" s="27"/>
    </row>
    <row r="14" ht="13.5" customHeight="1">
      <c r="A14" s="14">
        <v>46279.0</v>
      </c>
      <c r="B14" s="18" t="str">
        <f>IF(A14="","",IFERROR(LOOKUP(A14,Lists!$U$2:$U$14,Lists!$T$2:$T$14),""))</f>
        <v>W7</v>
      </c>
      <c r="C14" s="19" t="s">
        <v>193</v>
      </c>
      <c r="D14" s="19" t="s">
        <v>111</v>
      </c>
      <c r="E14" s="18" t="str">
        <f t="shared" si="1"/>
        <v>OK</v>
      </c>
      <c r="F14" s="19" t="s">
        <v>194</v>
      </c>
      <c r="G14" s="23">
        <v>16.0</v>
      </c>
      <c r="H14" s="28" t="s">
        <v>195</v>
      </c>
      <c r="I14" s="19" t="s">
        <v>82</v>
      </c>
      <c r="J14" s="19" t="s">
        <v>121</v>
      </c>
      <c r="K14" s="19" t="s">
        <v>196</v>
      </c>
      <c r="L14" s="30" t="str">
        <f>IFERROR(IF(K14="","",VLOOKUP(K14,Lists!$K$2:$O$61,5,FALSE)),"")</f>
        <v>I can actually invite someone into my organisation</v>
      </c>
      <c r="M14" s="18" t="str">
        <f>IFERROR(IF(K14="","",VLOOKUP(K14,Lists!$K$2:$O$61,2,FALSE)),"")</f>
        <v>G</v>
      </c>
      <c r="N14" s="18" t="str">
        <f>IFERROR(IF(K14="","",VLOOKUP(K14,Lists!$K$2:$O$61,3,FALSE)),"")</f>
        <v>P0</v>
      </c>
      <c r="O14" s="19" t="s">
        <v>197</v>
      </c>
      <c r="P14" s="31" t="s">
        <v>198</v>
      </c>
      <c r="Q14" s="32" t="s">
        <v>98</v>
      </c>
      <c r="R14" s="27"/>
    </row>
    <row r="15" ht="13.5" customHeight="1">
      <c r="A15" s="14">
        <v>46279.0</v>
      </c>
      <c r="B15" s="18" t="str">
        <f>IF(A15="","",IFERROR(LOOKUP(A15,Lists!$U$2:$U$14,Lists!$T$2:$T$14),""))</f>
        <v>W7</v>
      </c>
      <c r="C15" s="19" t="s">
        <v>93</v>
      </c>
      <c r="D15" s="19" t="s">
        <v>87</v>
      </c>
      <c r="E15" s="18" t="str">
        <f t="shared" si="1"/>
        <v>OK</v>
      </c>
      <c r="F15" s="19" t="s">
        <v>199</v>
      </c>
      <c r="G15" s="23">
        <v>17.0</v>
      </c>
      <c r="H15" s="28" t="s">
        <v>200</v>
      </c>
      <c r="I15" s="19" t="s">
        <v>88</v>
      </c>
      <c r="J15" s="19" t="s">
        <v>133</v>
      </c>
      <c r="K15" s="19" t="s">
        <v>201</v>
      </c>
      <c r="L15" s="30" t="str">
        <f>IFERROR(IF(K15="","",VLOOKUP(K15,Lists!$K$2:$O$61,5,FALSE)),"")</f>
        <v>I can send an item back to the annotator</v>
      </c>
      <c r="M15" s="18" t="str">
        <f>IFERROR(IF(K15="","",VLOOKUP(K15,Lists!$K$2:$O$61,2,FALSE)),"")</f>
        <v>E</v>
      </c>
      <c r="N15" s="18" t="str">
        <f>IFERROR(IF(K15="","",VLOOKUP(K15,Lists!$K$2:$O$61,3,FALSE)),"")</f>
        <v>P0</v>
      </c>
      <c r="O15" s="19">
        <v>15.0</v>
      </c>
      <c r="P15" s="31" t="s">
        <v>202</v>
      </c>
      <c r="Q15" s="32" t="s">
        <v>91</v>
      </c>
      <c r="R15" s="27"/>
    </row>
    <row r="16" ht="13.5" customHeight="1">
      <c r="A16" s="14">
        <v>46279.0</v>
      </c>
      <c r="B16" s="18" t="str">
        <f>IF(A16="","",IFERROR(LOOKUP(A16,Lists!$U$2:$U$14,Lists!$T$2:$T$14),""))</f>
        <v>W7</v>
      </c>
      <c r="C16" s="19" t="s">
        <v>93</v>
      </c>
      <c r="D16" s="19" t="s">
        <v>87</v>
      </c>
      <c r="E16" s="18" t="str">
        <f t="shared" si="1"/>
        <v>OK</v>
      </c>
      <c r="F16" s="19" t="s">
        <v>203</v>
      </c>
      <c r="G16" s="23">
        <v>17.0</v>
      </c>
      <c r="H16" s="28" t="s">
        <v>200</v>
      </c>
      <c r="I16" s="19" t="s">
        <v>82</v>
      </c>
      <c r="J16" s="19" t="s">
        <v>121</v>
      </c>
      <c r="K16" s="19" t="s">
        <v>204</v>
      </c>
      <c r="L16" s="30" t="str">
        <f>IFERROR(IF(K16="","",VLOOKUP(K16,Lists!$K$2:$O$61,5,FALSE)),"")</f>
        <v>I can record why I decided, not just what I decided</v>
      </c>
      <c r="M16" s="18" t="str">
        <f>IFERROR(IF(K16="","",VLOOKUP(K16,Lists!$K$2:$O$61,2,FALSE)),"")</f>
        <v>C</v>
      </c>
      <c r="N16" s="18" t="str">
        <f>IFERROR(IF(K16="","",VLOOKUP(K16,Lists!$K$2:$O$61,3,FALSE)),"")</f>
        <v>P1</v>
      </c>
      <c r="O16" s="19" t="s">
        <v>102</v>
      </c>
      <c r="P16" s="31" t="s">
        <v>208</v>
      </c>
      <c r="Q16" s="32" t="s">
        <v>91</v>
      </c>
      <c r="R16" s="27"/>
    </row>
    <row r="17" ht="13.5" customHeight="1">
      <c r="A17" s="14">
        <v>46279.0</v>
      </c>
      <c r="B17" s="18" t="str">
        <f>IF(A17="","",IFERROR(LOOKUP(A17,Lists!$U$2:$U$14,Lists!$T$2:$T$14),""))</f>
        <v>W7</v>
      </c>
      <c r="C17" s="19" t="s">
        <v>93</v>
      </c>
      <c r="D17" s="19" t="s">
        <v>87</v>
      </c>
      <c r="E17" s="18" t="str">
        <f t="shared" si="1"/>
        <v>OK</v>
      </c>
      <c r="F17" s="19"/>
      <c r="G17" s="23">
        <v>17.0</v>
      </c>
      <c r="H17" s="28" t="s">
        <v>200</v>
      </c>
      <c r="I17" s="19" t="s">
        <v>82</v>
      </c>
      <c r="J17" s="19" t="s">
        <v>115</v>
      </c>
      <c r="K17" s="19" t="s">
        <v>102</v>
      </c>
      <c r="L17" s="30" t="str">
        <f>IFERROR(IF(K17="","",VLOOKUP(K17,Lists!$K$2:$O$61,5,FALSE)),"")</f>
        <v>(not tied to a backlog story)</v>
      </c>
      <c r="M17" s="18" t="str">
        <f>IFERROR(IF(K17="","",VLOOKUP(K17,Lists!$K$2:$O$61,2,FALSE)),"")</f>
        <v/>
      </c>
      <c r="N17" s="18" t="str">
        <f>IFERROR(IF(K17="","",VLOOKUP(K17,Lists!$K$2:$O$61,3,FALSE)),"")</f>
        <v/>
      </c>
      <c r="O17" s="19" t="s">
        <v>102</v>
      </c>
      <c r="P17" s="31" t="s">
        <v>209</v>
      </c>
      <c r="Q17" s="32" t="s">
        <v>98</v>
      </c>
      <c r="R17" s="27"/>
    </row>
    <row r="18" ht="13.5" customHeight="1">
      <c r="A18" s="14">
        <v>46279.0</v>
      </c>
      <c r="B18" s="18" t="str">
        <f>IF(A18="","",IFERROR(LOOKUP(A18,Lists!$U$2:$U$14,Lists!$T$2:$T$14),""))</f>
        <v>W7</v>
      </c>
      <c r="C18" s="19" t="s">
        <v>81</v>
      </c>
      <c r="D18" s="19" t="s">
        <v>58</v>
      </c>
      <c r="E18" s="18" t="str">
        <f t="shared" si="1"/>
        <v>OK</v>
      </c>
      <c r="F18" s="19" t="s">
        <v>168</v>
      </c>
      <c r="G18" s="23">
        <v>18.0</v>
      </c>
      <c r="H18" s="28" t="s">
        <v>210</v>
      </c>
      <c r="I18" s="19" t="s">
        <v>88</v>
      </c>
      <c r="J18" s="19" t="s">
        <v>121</v>
      </c>
      <c r="K18" s="19" t="s">
        <v>172</v>
      </c>
      <c r="L18" s="30" t="str">
        <f>IFERROR(IF(K18="","",VLOOKUP(K18,Lists!$K$2:$O$61,5,FALSE)),"")</f>
        <v>I can get a working copy of the platform running by myself</v>
      </c>
      <c r="M18" s="18" t="str">
        <f>IFERROR(IF(K18="","",VLOOKUP(K18,Lists!$K$2:$O$61,2,FALSE)),"")</f>
        <v>A</v>
      </c>
      <c r="N18" s="18" t="str">
        <f>IFERROR(IF(K18="","",VLOOKUP(K18,Lists!$K$2:$O$61,3,FALSE)),"")</f>
        <v>P0</v>
      </c>
      <c r="O18" s="19" t="s">
        <v>173</v>
      </c>
      <c r="P18" s="31"/>
      <c r="Q18" s="32" t="s">
        <v>85</v>
      </c>
      <c r="R18" s="27"/>
    </row>
    <row r="19" ht="13.5" customHeight="1">
      <c r="A19" s="48">
        <v>46281.0</v>
      </c>
      <c r="B19" s="18" t="str">
        <f>IF(A19="","",IFERROR(LOOKUP(A19,Lists!$U$2:$U$14,Lists!$T$2:$T$14),""))</f>
        <v>W7</v>
      </c>
      <c r="C19" s="19" t="s">
        <v>80</v>
      </c>
      <c r="D19" s="19" t="s">
        <v>87</v>
      </c>
      <c r="E19" s="18" t="str">
        <f t="shared" si="1"/>
        <v>OK</v>
      </c>
      <c r="F19" s="19" t="s">
        <v>214</v>
      </c>
      <c r="G19" s="23">
        <v>19.0</v>
      </c>
      <c r="H19" s="28" t="s">
        <v>215</v>
      </c>
      <c r="I19" s="19" t="s">
        <v>88</v>
      </c>
      <c r="J19" s="19" t="s">
        <v>121</v>
      </c>
      <c r="K19" s="19" t="s">
        <v>216</v>
      </c>
      <c r="L19" s="30" t="str">
        <f>IFERROR(IF(K19="","",VLOOKUP(K19,Lists!$K$2:$O$61,5,FALSE)),"")</f>
        <v>Finalised means finalised</v>
      </c>
      <c r="M19" s="18" t="str">
        <f>IFERROR(IF(K19="","",VLOOKUP(K19,Lists!$K$2:$O$61,2,FALSE)),"")</f>
        <v>D</v>
      </c>
      <c r="N19" s="18" t="str">
        <f>IFERROR(IF(K19="","",VLOOKUP(K19,Lists!$K$2:$O$61,3,FALSE)),"")</f>
        <v>P0</v>
      </c>
      <c r="O19" s="19">
        <v>2.0</v>
      </c>
      <c r="P19" s="31" t="s">
        <v>217</v>
      </c>
      <c r="Q19" s="32" t="s">
        <v>85</v>
      </c>
      <c r="R19" s="27"/>
    </row>
    <row r="20" ht="13.5" customHeight="1">
      <c r="A20" s="48">
        <v>46282.0</v>
      </c>
      <c r="B20" s="18" t="str">
        <f>IF(A20="","",IFERROR(LOOKUP(A20,Lists!$U$2:$U$14,Lists!$T$2:$T$14),""))</f>
        <v>W7</v>
      </c>
      <c r="C20" s="19" t="s">
        <v>81</v>
      </c>
      <c r="D20" s="19" t="s">
        <v>80</v>
      </c>
      <c r="E20" s="18" t="str">
        <f t="shared" si="1"/>
        <v>OK</v>
      </c>
      <c r="F20" s="19" t="s">
        <v>218</v>
      </c>
      <c r="G20" s="23">
        <v>20.0</v>
      </c>
      <c r="H20" s="28" t="s">
        <v>219</v>
      </c>
      <c r="I20" s="19" t="s">
        <v>220</v>
      </c>
      <c r="J20" s="19" t="s">
        <v>221</v>
      </c>
      <c r="K20" s="19" t="s">
        <v>83</v>
      </c>
      <c r="L20" s="30" t="str">
        <f>IFERROR(IF(K20="","",VLOOKUP(K20,Lists!$K$2:$O$61,5,FALSE)),"")</f>
        <v>A large batch of items gets AI-annotated reliably</v>
      </c>
      <c r="M20" s="18" t="str">
        <f>IFERROR(IF(K20="","",VLOOKUP(K20,Lists!$K$2:$O$61,2,FALSE)),"")</f>
        <v>C</v>
      </c>
      <c r="N20" s="18" t="str">
        <f>IFERROR(IF(K20="","",VLOOKUP(K20,Lists!$K$2:$O$61,3,FALSE)),"")</f>
        <v>P0</v>
      </c>
      <c r="O20" s="19" t="s">
        <v>102</v>
      </c>
      <c r="P20" s="31" t="s">
        <v>222</v>
      </c>
      <c r="Q20" s="32" t="s">
        <v>85</v>
      </c>
      <c r="R20" s="27"/>
    </row>
    <row r="21" ht="13.5" customHeight="1">
      <c r="A21" s="48">
        <v>46282.0</v>
      </c>
      <c r="B21" s="18" t="str">
        <f>IF(A21="","",IFERROR(LOOKUP(A21,Lists!$U$2:$U$14,Lists!$T$2:$T$14),""))</f>
        <v>W7</v>
      </c>
      <c r="C21" s="19" t="s">
        <v>81</v>
      </c>
      <c r="D21" s="19" t="s">
        <v>80</v>
      </c>
      <c r="E21" s="18" t="str">
        <f t="shared" si="1"/>
        <v>OK</v>
      </c>
      <c r="F21" s="19" t="s">
        <v>223</v>
      </c>
      <c r="G21" s="23">
        <v>21.0</v>
      </c>
      <c r="H21" s="28" t="s">
        <v>224</v>
      </c>
      <c r="I21" s="19" t="s">
        <v>82</v>
      </c>
      <c r="J21" s="19" t="s">
        <v>228</v>
      </c>
      <c r="K21" s="19" t="s">
        <v>83</v>
      </c>
      <c r="L21" s="30" t="str">
        <f>IFERROR(IF(K21="","",VLOOKUP(K21,Lists!$K$2:$O$61,5,FALSE)),"")</f>
        <v>A large batch of items gets AI-annotated reliably</v>
      </c>
      <c r="M21" s="18" t="str">
        <f>IFERROR(IF(K21="","",VLOOKUP(K21,Lists!$K$2:$O$61,2,FALSE)),"")</f>
        <v>C</v>
      </c>
      <c r="N21" s="18" t="str">
        <f>IFERROR(IF(K21="","",VLOOKUP(K21,Lists!$K$2:$O$61,3,FALSE)),"")</f>
        <v>P0</v>
      </c>
      <c r="O21" s="19" t="s">
        <v>102</v>
      </c>
      <c r="P21" s="31" t="s">
        <v>229</v>
      </c>
      <c r="Q21" s="32" t="s">
        <v>85</v>
      </c>
      <c r="R21" s="27"/>
    </row>
    <row r="22" ht="13.5" customHeight="1">
      <c r="A22" s="48">
        <v>46283.0</v>
      </c>
      <c r="B22" s="18" t="str">
        <f>IF(A22="","",IFERROR(LOOKUP(A22,Lists!$U$2:$U$14,Lists!$T$2:$T$14),""))</f>
        <v>W7</v>
      </c>
      <c r="C22" s="19" t="s">
        <v>81</v>
      </c>
      <c r="D22" s="19" t="s">
        <v>80</v>
      </c>
      <c r="E22" s="18" t="str">
        <f t="shared" si="1"/>
        <v>OK</v>
      </c>
      <c r="F22" s="19" t="s">
        <v>218</v>
      </c>
      <c r="G22" s="23">
        <v>22.0</v>
      </c>
      <c r="H22" s="28" t="s">
        <v>231</v>
      </c>
      <c r="I22" s="19" t="s">
        <v>82</v>
      </c>
      <c r="J22" s="19" t="s">
        <v>121</v>
      </c>
      <c r="K22" s="19" t="s">
        <v>83</v>
      </c>
      <c r="L22" s="30" t="str">
        <f>IFERROR(IF(K22="","",VLOOKUP(K22,Lists!$K$2:$O$61,5,FALSE)),"")</f>
        <v>A large batch of items gets AI-annotated reliably</v>
      </c>
      <c r="M22" s="18" t="str">
        <f>IFERROR(IF(K22="","",VLOOKUP(K22,Lists!$K$2:$O$61,2,FALSE)),"")</f>
        <v>C</v>
      </c>
      <c r="N22" s="18" t="str">
        <f>IFERROR(IF(K22="","",VLOOKUP(K22,Lists!$K$2:$O$61,3,FALSE)),"")</f>
        <v>P0</v>
      </c>
      <c r="O22" s="19" t="s">
        <v>102</v>
      </c>
      <c r="P22" s="31" t="s">
        <v>234</v>
      </c>
      <c r="Q22" s="32" t="s">
        <v>85</v>
      </c>
      <c r="R22" s="27"/>
    </row>
    <row r="23" ht="13.5" customHeight="1">
      <c r="A23" s="14">
        <v>46284.0</v>
      </c>
      <c r="B23" s="18" t="str">
        <f>IF(A23="","",IFERROR(LOOKUP(A23,Lists!$U$2:$U$14,Lists!$T$2:$T$14),""))</f>
        <v>W7</v>
      </c>
      <c r="C23" s="19" t="s">
        <v>80</v>
      </c>
      <c r="D23" s="19" t="s">
        <v>175</v>
      </c>
      <c r="E23" s="18" t="str">
        <f t="shared" si="1"/>
        <v>OK</v>
      </c>
      <c r="F23" s="19" t="s">
        <v>235</v>
      </c>
      <c r="G23" s="23">
        <v>23.0</v>
      </c>
      <c r="H23" s="28" t="s">
        <v>236</v>
      </c>
      <c r="I23" s="19" t="s">
        <v>88</v>
      </c>
      <c r="J23" s="19" t="s">
        <v>121</v>
      </c>
      <c r="K23" s="19" t="s">
        <v>216</v>
      </c>
      <c r="L23" s="30" t="str">
        <f>IFERROR(IF(K23="","",VLOOKUP(K23,Lists!$K$2:$O$61,5,FALSE)),"")</f>
        <v>Finalised means finalised</v>
      </c>
      <c r="M23" s="18" t="str">
        <f>IFERROR(IF(K23="","",VLOOKUP(K23,Lists!$K$2:$O$61,2,FALSE)),"")</f>
        <v>D</v>
      </c>
      <c r="N23" s="18" t="str">
        <f>IFERROR(IF(K23="","",VLOOKUP(K23,Lists!$K$2:$O$61,3,FALSE)),"")</f>
        <v>P0</v>
      </c>
      <c r="O23" s="19">
        <v>11.0</v>
      </c>
      <c r="P23" s="31" t="s">
        <v>237</v>
      </c>
      <c r="Q23" s="32" t="s">
        <v>85</v>
      </c>
      <c r="R23" s="27"/>
    </row>
    <row r="24" ht="13.5" customHeight="1">
      <c r="A24" s="14">
        <v>46285.0</v>
      </c>
      <c r="B24" s="18" t="s">
        <v>238</v>
      </c>
      <c r="C24" s="19" t="s">
        <v>93</v>
      </c>
      <c r="D24" s="19" t="s">
        <v>80</v>
      </c>
      <c r="E24" s="18" t="str">
        <f t="shared" si="1"/>
        <v>OK</v>
      </c>
      <c r="F24" s="19" t="s">
        <v>239</v>
      </c>
      <c r="G24" s="23">
        <v>24.0</v>
      </c>
      <c r="H24" s="49" t="s">
        <v>240</v>
      </c>
      <c r="I24" s="19" t="s">
        <v>114</v>
      </c>
      <c r="J24" s="19" t="s">
        <v>228</v>
      </c>
      <c r="K24" s="19" t="s">
        <v>83</v>
      </c>
      <c r="L24" s="30" t="s">
        <v>241</v>
      </c>
      <c r="M24" s="18" t="s">
        <v>242</v>
      </c>
      <c r="N24" s="18" t="str">
        <f>IFERROR(IF(K24="","",VLOOKUP(K24,Lists!$K$2:$O$61,3,FALSE)),"")</f>
        <v>P0</v>
      </c>
      <c r="O24" s="19" t="s">
        <v>102</v>
      </c>
      <c r="P24" s="31" t="s">
        <v>243</v>
      </c>
      <c r="Q24" s="32" t="s">
        <v>85</v>
      </c>
      <c r="R24" s="27" t="s">
        <v>244</v>
      </c>
    </row>
    <row r="25" ht="13.5" customHeight="1">
      <c r="A25" s="14">
        <v>46285.0</v>
      </c>
      <c r="B25" s="18" t="str">
        <f>IF(A25="","",IFERROR(LOOKUP(A25,Lists!$U$2:$U$14,Lists!$T$2:$T$14),""))</f>
        <v>W7</v>
      </c>
      <c r="C25" s="19" t="s">
        <v>111</v>
      </c>
      <c r="D25" s="19" t="s">
        <v>93</v>
      </c>
      <c r="E25" s="18" t="str">
        <f t="shared" si="1"/>
        <v>OK</v>
      </c>
      <c r="F25" s="19" t="s">
        <v>245</v>
      </c>
      <c r="G25" s="23">
        <v>25.0</v>
      </c>
      <c r="H25" s="28" t="s">
        <v>246</v>
      </c>
      <c r="I25" s="19" t="s">
        <v>82</v>
      </c>
      <c r="J25" s="19" t="s">
        <v>133</v>
      </c>
      <c r="K25" s="19" t="s">
        <v>247</v>
      </c>
      <c r="L25" s="30" t="str">
        <f>IFERROR(IF(K25="","",VLOOKUP(K25,Lists!$K$2:$O$61,5,FALSE)),"")</f>
        <v>I can decide how carefully my project's work gets reviewed</v>
      </c>
      <c r="M25" s="18" t="s">
        <v>248</v>
      </c>
      <c r="N25" s="18" t="str">
        <f>IFERROR(IF(K25="","",VLOOKUP(K25,Lists!$K$2:$O$61,3,FALSE)),"")</f>
        <v>P0</v>
      </c>
      <c r="O25" s="19" t="s">
        <v>102</v>
      </c>
      <c r="P25" s="31" t="s">
        <v>249</v>
      </c>
      <c r="Q25" s="32" t="s">
        <v>85</v>
      </c>
      <c r="R25" s="27"/>
    </row>
    <row r="26" ht="13.5" customHeight="1">
      <c r="A26" s="14">
        <v>46285.0</v>
      </c>
      <c r="B26" s="18" t="str">
        <f>IF(A26="","",IFERROR(LOOKUP(A26,Lists!$U$2:$U$14,Lists!$T$2:$T$14),""))</f>
        <v>W7</v>
      </c>
      <c r="C26" s="19" t="s">
        <v>87</v>
      </c>
      <c r="D26" s="19" t="s">
        <v>175</v>
      </c>
      <c r="E26" s="18" t="str">
        <f t="shared" si="1"/>
        <v>OK</v>
      </c>
      <c r="F26" s="19" t="s">
        <v>255</v>
      </c>
      <c r="G26" s="23">
        <v>26.0</v>
      </c>
      <c r="H26" s="28" t="s">
        <v>257</v>
      </c>
      <c r="I26" s="19" t="s">
        <v>88</v>
      </c>
      <c r="J26" s="19" t="s">
        <v>121</v>
      </c>
      <c r="K26" s="19" t="s">
        <v>259</v>
      </c>
      <c r="L26" s="30" t="str">
        <f>IFERROR(IF(K26="","",VLOOKUP(K26,Lists!$K$2:$O$61,5,FALSE)),"")</f>
        <v>“Done” means the same thing everywhere I look</v>
      </c>
      <c r="M26" s="18" t="s">
        <v>260</v>
      </c>
      <c r="N26" s="18" t="str">
        <f>IFERROR(IF(K26="","",VLOOKUP(K26,Lists!$K$2:$O$61,3,FALSE)),"")</f>
        <v>P1</v>
      </c>
      <c r="O26" s="19" t="s">
        <v>261</v>
      </c>
      <c r="P26" s="50" t="s">
        <v>262</v>
      </c>
      <c r="Q26" s="32" t="s">
        <v>91</v>
      </c>
      <c r="R26" s="27"/>
    </row>
    <row r="27" ht="13.5" customHeight="1">
      <c r="A27" s="14">
        <v>46285.0</v>
      </c>
      <c r="B27" s="18" t="s">
        <v>238</v>
      </c>
      <c r="C27" s="19" t="s">
        <v>58</v>
      </c>
      <c r="D27" s="19" t="s">
        <v>111</v>
      </c>
      <c r="E27" s="18" t="str">
        <f t="shared" si="1"/>
        <v>OK</v>
      </c>
      <c r="F27" s="19" t="s">
        <v>145</v>
      </c>
      <c r="G27" s="23">
        <v>27.0</v>
      </c>
      <c r="H27" s="28" t="s">
        <v>263</v>
      </c>
      <c r="I27" s="19" t="s">
        <v>82</v>
      </c>
      <c r="J27" s="19" t="s">
        <v>133</v>
      </c>
      <c r="K27" s="19" t="s">
        <v>151</v>
      </c>
      <c r="L27" s="30" t="str">
        <f>IFERROR(IF(K27="","",VLOOKUP(K27,Lists!$K$2:$O$61,5,FALSE)),"")</f>
        <v>The AI assistant can be swapped without disrupting my work</v>
      </c>
      <c r="M27" s="18" t="str">
        <f>IFERROR(IF(K27="","",VLOOKUP(K27,Lists!$K$2:$O$61,2,FALSE)),"")</f>
        <v>C</v>
      </c>
      <c r="N27" s="18" t="str">
        <f>IFERROR(IF(K27="","",VLOOKUP(K27,Lists!$K$2:$O$61,3,FALSE)),"")</f>
        <v>P1</v>
      </c>
      <c r="O27" s="19" t="s">
        <v>102</v>
      </c>
      <c r="P27" s="31" t="s">
        <v>264</v>
      </c>
      <c r="Q27" s="32" t="s">
        <v>85</v>
      </c>
      <c r="R27" s="27"/>
    </row>
    <row r="28" ht="13.5" customHeight="1">
      <c r="A28" s="14">
        <v>46286.0</v>
      </c>
      <c r="B28" s="18" t="str">
        <f>IF(A28="","",IFERROR(LOOKUP(A28,Lists!$U$2:$U$14,Lists!$T$2:$T$14),""))</f>
        <v>W7</v>
      </c>
      <c r="C28" s="19" t="s">
        <v>193</v>
      </c>
      <c r="D28" s="19"/>
      <c r="E28" s="18" t="str">
        <f t="shared" si="1"/>
        <v/>
      </c>
      <c r="F28" s="52" t="s">
        <v>245</v>
      </c>
      <c r="G28" s="53">
        <v>28.0</v>
      </c>
      <c r="H28" s="54" t="s">
        <v>268</v>
      </c>
      <c r="I28" s="19"/>
      <c r="J28" s="19"/>
      <c r="K28" s="19"/>
      <c r="L28" s="30" t="str">
        <f>IFERROR(IF(K28="","",VLOOKUP(K28,Lists!$K$2:$O$61,5,FALSE)),"")</f>
        <v/>
      </c>
      <c r="M28" s="18" t="str">
        <f>IFERROR(IF(K28="","",VLOOKUP(K28,Lists!$K$2:$O$61,2,FALSE)),"")</f>
        <v/>
      </c>
      <c r="N28" s="18" t="str">
        <f>IFERROR(IF(K28="","",VLOOKUP(K28,Lists!$K$2:$O$61,3,FALSE)),"")</f>
        <v/>
      </c>
      <c r="O28" s="19"/>
      <c r="P28" s="31"/>
      <c r="Q28" s="32"/>
      <c r="R28" s="27"/>
    </row>
    <row r="29" ht="13.5" customHeight="1">
      <c r="A29" s="14">
        <v>46286.0</v>
      </c>
      <c r="B29" s="18" t="s">
        <v>269</v>
      </c>
      <c r="C29" s="19" t="s">
        <v>81</v>
      </c>
      <c r="D29" s="19"/>
      <c r="E29" s="18" t="str">
        <f t="shared" si="1"/>
        <v/>
      </c>
      <c r="F29" s="19" t="s">
        <v>270</v>
      </c>
      <c r="G29" s="23">
        <v>29.0</v>
      </c>
      <c r="H29" s="28" t="s">
        <v>271</v>
      </c>
      <c r="I29" s="19" t="s">
        <v>82</v>
      </c>
      <c r="J29" s="19"/>
      <c r="K29" s="19"/>
      <c r="L29" s="30" t="str">
        <f>IFERROR(IF(K29="","",VLOOKUP(K29,Lists!$K$2:$O$61,5,FALSE)),"")</f>
        <v/>
      </c>
      <c r="M29" s="18" t="str">
        <f>IFERROR(IF(K29="","",VLOOKUP(K29,Lists!$K$2:$O$61,2,FALSE)),"")</f>
        <v/>
      </c>
      <c r="N29" s="18" t="str">
        <f>IFERROR(IF(K29="","",VLOOKUP(K29,Lists!$K$2:$O$61,3,FALSE)),"")</f>
        <v/>
      </c>
      <c r="O29" s="19"/>
      <c r="P29" s="31"/>
      <c r="Q29" s="32"/>
      <c r="R29" s="27"/>
    </row>
    <row r="30" ht="13.5" customHeight="1">
      <c r="A30" s="14">
        <v>46286.0</v>
      </c>
      <c r="B30" s="18" t="s">
        <v>269</v>
      </c>
      <c r="C30" s="19" t="s">
        <v>81</v>
      </c>
      <c r="D30" s="19"/>
      <c r="E30" s="18" t="str">
        <f t="shared" si="1"/>
        <v/>
      </c>
      <c r="F30" s="19" t="s">
        <v>274</v>
      </c>
      <c r="G30" s="23">
        <v>30.0</v>
      </c>
      <c r="H30" s="28" t="s">
        <v>275</v>
      </c>
      <c r="I30" s="19" t="s">
        <v>82</v>
      </c>
      <c r="J30" s="19"/>
      <c r="K30" s="19"/>
      <c r="L30" s="30" t="str">
        <f>IFERROR(IF(K30="","",VLOOKUP(K30,Lists!$K$2:$O$61,5,FALSE)),"")</f>
        <v/>
      </c>
      <c r="M30" s="18" t="str">
        <f>IFERROR(IF(K30="","",VLOOKUP(K30,Lists!$K$2:$O$61,2,FALSE)),"")</f>
        <v/>
      </c>
      <c r="N30" s="18" t="str">
        <f>IFERROR(IF(K30="","",VLOOKUP(K30,Lists!$K$2:$O$61,3,FALSE)),"")</f>
        <v/>
      </c>
      <c r="O30" s="19"/>
      <c r="P30" s="31"/>
      <c r="Q30" s="32"/>
      <c r="R30" s="27"/>
    </row>
    <row r="31" ht="13.5" customHeight="1">
      <c r="A31" s="14">
        <v>46286.0</v>
      </c>
      <c r="B31" s="18" t="str">
        <f>IF(A31="","",IFERROR(LOOKUP(A31,Lists!$U$2:$U$14,Lists!$T$2:$T$14),""))</f>
        <v>W7</v>
      </c>
      <c r="C31" s="19" t="s">
        <v>58</v>
      </c>
      <c r="D31" s="19"/>
      <c r="E31" s="18" t="str">
        <f t="shared" si="1"/>
        <v/>
      </c>
      <c r="F31" s="19"/>
      <c r="G31" s="23"/>
      <c r="H31" s="19"/>
      <c r="I31" s="19"/>
      <c r="J31" s="19"/>
      <c r="K31" s="19"/>
      <c r="L31" s="30" t="str">
        <f>IFERROR(IF(K31="","",VLOOKUP(K31,Lists!$K$2:$O$61,5,FALSE)),"")</f>
        <v/>
      </c>
      <c r="M31" s="18" t="str">
        <f>IFERROR(IF(K31="","",VLOOKUP(K31,Lists!$K$2:$O$61,2,FALSE)),"")</f>
        <v/>
      </c>
      <c r="N31" s="18" t="str">
        <f>IFERROR(IF(K31="","",VLOOKUP(K31,Lists!$K$2:$O$61,3,FALSE)),"")</f>
        <v/>
      </c>
      <c r="O31" s="19"/>
      <c r="P31" s="31"/>
      <c r="Q31" s="32"/>
      <c r="R31" s="27"/>
    </row>
    <row r="32" ht="13.5" customHeight="1">
      <c r="A32" s="14"/>
      <c r="B32" s="18" t="str">
        <f>IF(A32="","",IFERROR(LOOKUP(A32,Lists!$U$2:$U$14,Lists!$T$2:$T$14),""))</f>
        <v/>
      </c>
      <c r="C32" s="19"/>
      <c r="D32" s="19"/>
      <c r="E32" s="18" t="str">
        <f t="shared" si="1"/>
        <v/>
      </c>
      <c r="F32" s="19"/>
      <c r="G32" s="23"/>
      <c r="H32" s="19"/>
      <c r="I32" s="19"/>
      <c r="J32" s="19"/>
      <c r="K32" s="19"/>
      <c r="L32" s="30" t="str">
        <f>IFERROR(IF(K32="","",VLOOKUP(K32,Lists!$K$2:$O$61,5,FALSE)),"")</f>
        <v/>
      </c>
      <c r="M32" s="18" t="str">
        <f>IFERROR(IF(K32="","",VLOOKUP(K32,Lists!$K$2:$O$61,2,FALSE)),"")</f>
        <v/>
      </c>
      <c r="N32" s="18" t="str">
        <f>IFERROR(IF(K32="","",VLOOKUP(K32,Lists!$K$2:$O$61,3,FALSE)),"")</f>
        <v/>
      </c>
      <c r="O32" s="19"/>
      <c r="P32" s="31"/>
      <c r="Q32" s="32"/>
      <c r="R32" s="27"/>
    </row>
    <row r="33" ht="13.5" customHeight="1">
      <c r="A33" s="14"/>
      <c r="B33" s="18" t="str">
        <f>IF(A33="","",IFERROR(LOOKUP(A33,Lists!$U$2:$U$14,Lists!$T$2:$T$14),""))</f>
        <v/>
      </c>
      <c r="C33" s="19"/>
      <c r="D33" s="19"/>
      <c r="E33" s="18" t="str">
        <f t="shared" si="1"/>
        <v/>
      </c>
      <c r="F33" s="19"/>
      <c r="G33" s="23"/>
      <c r="H33" s="19"/>
      <c r="I33" s="19"/>
      <c r="J33" s="19"/>
      <c r="K33" s="19"/>
      <c r="L33" s="30" t="str">
        <f>IFERROR(IF(K33="","",VLOOKUP(K33,Lists!$K$2:$O$61,5,FALSE)),"")</f>
        <v/>
      </c>
      <c r="M33" s="18" t="str">
        <f>IFERROR(IF(K33="","",VLOOKUP(K33,Lists!$K$2:$O$61,2,FALSE)),"")</f>
        <v/>
      </c>
      <c r="N33" s="18" t="str">
        <f>IFERROR(IF(K33="","",VLOOKUP(K33,Lists!$K$2:$O$61,3,FALSE)),"")</f>
        <v/>
      </c>
      <c r="O33" s="19"/>
      <c r="P33" s="31"/>
      <c r="Q33" s="32"/>
      <c r="R33" s="27"/>
    </row>
    <row r="34" ht="13.5" customHeight="1">
      <c r="A34" s="14"/>
      <c r="B34" s="18" t="str">
        <f>IF(A34="","",IFERROR(LOOKUP(A34,Lists!$U$2:$U$14,Lists!$T$2:$T$14),""))</f>
        <v/>
      </c>
      <c r="C34" s="19"/>
      <c r="D34" s="19"/>
      <c r="E34" s="18" t="str">
        <f t="shared" si="1"/>
        <v/>
      </c>
      <c r="F34" s="19"/>
      <c r="G34" s="23"/>
      <c r="H34" s="19"/>
      <c r="I34" s="19"/>
      <c r="J34" s="19"/>
      <c r="K34" s="19"/>
      <c r="L34" s="30" t="str">
        <f>IFERROR(IF(K34="","",VLOOKUP(K34,Lists!$K$2:$O$61,5,FALSE)),"")</f>
        <v/>
      </c>
      <c r="M34" s="18" t="str">
        <f>IFERROR(IF(K34="","",VLOOKUP(K34,Lists!$K$2:$O$61,2,FALSE)),"")</f>
        <v/>
      </c>
      <c r="N34" s="18" t="str">
        <f>IFERROR(IF(K34="","",VLOOKUP(K34,Lists!$K$2:$O$61,3,FALSE)),"")</f>
        <v/>
      </c>
      <c r="O34" s="19"/>
      <c r="P34" s="31"/>
      <c r="Q34" s="32"/>
      <c r="R34" s="27"/>
    </row>
    <row r="35" ht="13.5" customHeight="1">
      <c r="A35" s="14"/>
      <c r="B35" s="18" t="str">
        <f>IF(A35="","",IFERROR(LOOKUP(A35,Lists!$U$2:$U$14,Lists!$T$2:$T$14),""))</f>
        <v/>
      </c>
      <c r="C35" s="19"/>
      <c r="D35" s="19"/>
      <c r="E35" s="18" t="str">
        <f t="shared" si="1"/>
        <v/>
      </c>
      <c r="F35" s="19"/>
      <c r="G35" s="23"/>
      <c r="H35" s="19"/>
      <c r="I35" s="19"/>
      <c r="J35" s="19"/>
      <c r="K35" s="19"/>
      <c r="L35" s="30" t="str">
        <f>IFERROR(IF(K35="","",VLOOKUP(K35,Lists!$K$2:$O$61,5,FALSE)),"")</f>
        <v/>
      </c>
      <c r="M35" s="18" t="str">
        <f>IFERROR(IF(K35="","",VLOOKUP(K35,Lists!$K$2:$O$61,2,FALSE)),"")</f>
        <v/>
      </c>
      <c r="N35" s="18" t="str">
        <f>IFERROR(IF(K35="","",VLOOKUP(K35,Lists!$K$2:$O$61,3,FALSE)),"")</f>
        <v/>
      </c>
      <c r="O35" s="19"/>
      <c r="P35" s="31"/>
      <c r="Q35" s="32"/>
      <c r="R35" s="27"/>
    </row>
    <row r="36" ht="13.5" customHeight="1">
      <c r="A36" s="14"/>
      <c r="B36" s="18" t="str">
        <f>IF(A36="","",IFERROR(LOOKUP(A36,Lists!$U$2:$U$14,Lists!$T$2:$T$14),""))</f>
        <v/>
      </c>
      <c r="C36" s="19"/>
      <c r="D36" s="19"/>
      <c r="E36" s="18" t="str">
        <f t="shared" si="1"/>
        <v/>
      </c>
      <c r="F36" s="19"/>
      <c r="G36" s="23"/>
      <c r="H36" s="19"/>
      <c r="I36" s="19"/>
      <c r="J36" s="19"/>
      <c r="K36" s="19"/>
      <c r="L36" s="30" t="str">
        <f>IFERROR(IF(K36="","",VLOOKUP(K36,Lists!$K$2:$O$61,5,FALSE)),"")</f>
        <v/>
      </c>
      <c r="M36" s="18" t="str">
        <f>IFERROR(IF(K36="","",VLOOKUP(K36,Lists!$K$2:$O$61,2,FALSE)),"")</f>
        <v/>
      </c>
      <c r="N36" s="18" t="str">
        <f>IFERROR(IF(K36="","",VLOOKUP(K36,Lists!$K$2:$O$61,3,FALSE)),"")</f>
        <v/>
      </c>
      <c r="O36" s="19"/>
      <c r="P36" s="31"/>
      <c r="Q36" s="32"/>
      <c r="R36" s="27"/>
    </row>
    <row r="37" ht="13.5" customHeight="1">
      <c r="A37" s="14"/>
      <c r="B37" s="18" t="str">
        <f>IF(A37="","",IFERROR(LOOKUP(A37,Lists!$U$2:$U$14,Lists!$T$2:$T$14),""))</f>
        <v/>
      </c>
      <c r="C37" s="19"/>
      <c r="D37" s="19"/>
      <c r="E37" s="18" t="str">
        <f t="shared" si="1"/>
        <v/>
      </c>
      <c r="F37" s="19"/>
      <c r="G37" s="23"/>
      <c r="H37" s="19"/>
      <c r="I37" s="19"/>
      <c r="J37" s="19"/>
      <c r="K37" s="19"/>
      <c r="L37" s="30" t="str">
        <f>IFERROR(IF(K37="","",VLOOKUP(K37,Lists!$K$2:$O$61,5,FALSE)),"")</f>
        <v/>
      </c>
      <c r="M37" s="18" t="str">
        <f>IFERROR(IF(K37="","",VLOOKUP(K37,Lists!$K$2:$O$61,2,FALSE)),"")</f>
        <v/>
      </c>
      <c r="N37" s="18" t="str">
        <f>IFERROR(IF(K37="","",VLOOKUP(K37,Lists!$K$2:$O$61,3,FALSE)),"")</f>
        <v/>
      </c>
      <c r="O37" s="19"/>
      <c r="P37" s="31"/>
      <c r="Q37" s="32"/>
      <c r="R37" s="27"/>
    </row>
    <row r="38" ht="13.5" customHeight="1">
      <c r="A38" s="14"/>
      <c r="B38" s="18" t="str">
        <f>IF(A38="","",IFERROR(LOOKUP(A38,Lists!$U$2:$U$14,Lists!$T$2:$T$14),""))</f>
        <v/>
      </c>
      <c r="C38" s="19"/>
      <c r="D38" s="19"/>
      <c r="E38" s="18" t="str">
        <f t="shared" si="1"/>
        <v/>
      </c>
      <c r="F38" s="19"/>
      <c r="G38" s="23"/>
      <c r="H38" s="19"/>
      <c r="I38" s="19"/>
      <c r="J38" s="19"/>
      <c r="K38" s="19"/>
      <c r="L38" s="30" t="str">
        <f>IFERROR(IF(K38="","",VLOOKUP(K38,Lists!$K$2:$O$61,5,FALSE)),"")</f>
        <v/>
      </c>
      <c r="M38" s="18" t="str">
        <f>IFERROR(IF(K38="","",VLOOKUP(K38,Lists!$K$2:$O$61,2,FALSE)),"")</f>
        <v/>
      </c>
      <c r="N38" s="18" t="str">
        <f>IFERROR(IF(K38="","",VLOOKUP(K38,Lists!$K$2:$O$61,3,FALSE)),"")</f>
        <v/>
      </c>
      <c r="O38" s="19"/>
      <c r="P38" s="31"/>
      <c r="Q38" s="32"/>
      <c r="R38" s="27"/>
    </row>
    <row r="39" ht="13.5" customHeight="1">
      <c r="A39" s="14"/>
      <c r="B39" s="18" t="str">
        <f>IF(A39="","",IFERROR(LOOKUP(A39,Lists!$U$2:$U$14,Lists!$T$2:$T$14),""))</f>
        <v/>
      </c>
      <c r="C39" s="19"/>
      <c r="D39" s="19"/>
      <c r="E39" s="18" t="str">
        <f t="shared" si="1"/>
        <v/>
      </c>
      <c r="F39" s="19"/>
      <c r="G39" s="23"/>
      <c r="H39" s="19"/>
      <c r="I39" s="19"/>
      <c r="J39" s="19"/>
      <c r="K39" s="19"/>
      <c r="L39" s="30" t="str">
        <f>IFERROR(IF(K39="","",VLOOKUP(K39,Lists!$K$2:$O$61,5,FALSE)),"")</f>
        <v/>
      </c>
      <c r="M39" s="18" t="str">
        <f>IFERROR(IF(K39="","",VLOOKUP(K39,Lists!$K$2:$O$61,2,FALSE)),"")</f>
        <v/>
      </c>
      <c r="N39" s="18" t="str">
        <f>IFERROR(IF(K39="","",VLOOKUP(K39,Lists!$K$2:$O$61,3,FALSE)),"")</f>
        <v/>
      </c>
      <c r="O39" s="19"/>
      <c r="P39" s="31"/>
      <c r="Q39" s="32"/>
      <c r="R39" s="27"/>
    </row>
    <row r="40" ht="13.5" customHeight="1">
      <c r="A40" s="14"/>
      <c r="B40" s="18" t="str">
        <f>IF(A40="","",IFERROR(LOOKUP(A40,Lists!$U$2:$U$14,Lists!$T$2:$T$14),""))</f>
        <v/>
      </c>
      <c r="C40" s="19"/>
      <c r="D40" s="19"/>
      <c r="E40" s="18" t="str">
        <f t="shared" si="1"/>
        <v/>
      </c>
      <c r="F40" s="19"/>
      <c r="G40" s="23"/>
      <c r="H40" s="19"/>
      <c r="I40" s="19"/>
      <c r="J40" s="19"/>
      <c r="K40" s="19"/>
      <c r="L40" s="30" t="str">
        <f>IFERROR(IF(K40="","",VLOOKUP(K40,Lists!$K$2:$O$61,5,FALSE)),"")</f>
        <v/>
      </c>
      <c r="M40" s="18" t="str">
        <f>IFERROR(IF(K40="","",VLOOKUP(K40,Lists!$K$2:$O$61,2,FALSE)),"")</f>
        <v/>
      </c>
      <c r="N40" s="18" t="str">
        <f>IFERROR(IF(K40="","",VLOOKUP(K40,Lists!$K$2:$O$61,3,FALSE)),"")</f>
        <v/>
      </c>
      <c r="O40" s="19"/>
      <c r="P40" s="31"/>
      <c r="Q40" s="32"/>
      <c r="R40" s="27"/>
    </row>
    <row r="41" ht="13.5" customHeight="1">
      <c r="A41" s="14"/>
      <c r="B41" s="18" t="str">
        <f>IF(A41="","",IFERROR(LOOKUP(A41,Lists!$U$2:$U$14,Lists!$T$2:$T$14),""))</f>
        <v/>
      </c>
      <c r="C41" s="19"/>
      <c r="D41" s="19"/>
      <c r="E41" s="18" t="str">
        <f t="shared" si="1"/>
        <v/>
      </c>
      <c r="F41" s="19"/>
      <c r="G41" s="23"/>
      <c r="H41" s="19"/>
      <c r="I41" s="19"/>
      <c r="J41" s="19"/>
      <c r="K41" s="19"/>
      <c r="L41" s="30" t="str">
        <f>IFERROR(IF(K41="","",VLOOKUP(K41,Lists!$K$2:$O$61,5,FALSE)),"")</f>
        <v/>
      </c>
      <c r="M41" s="18" t="str">
        <f>IFERROR(IF(K41="","",VLOOKUP(K41,Lists!$K$2:$O$61,2,FALSE)),"")</f>
        <v/>
      </c>
      <c r="N41" s="18" t="str">
        <f>IFERROR(IF(K41="","",VLOOKUP(K41,Lists!$K$2:$O$61,3,FALSE)),"")</f>
        <v/>
      </c>
      <c r="O41" s="19"/>
      <c r="P41" s="31"/>
      <c r="Q41" s="32"/>
      <c r="R41" s="27"/>
    </row>
    <row r="42" ht="13.5" customHeight="1">
      <c r="A42" s="14"/>
      <c r="B42" s="18" t="str">
        <f>IF(A42="","",IFERROR(LOOKUP(A42,Lists!$U$2:$U$14,Lists!$T$2:$T$14),""))</f>
        <v/>
      </c>
      <c r="C42" s="19"/>
      <c r="D42" s="19"/>
      <c r="E42" s="18" t="str">
        <f t="shared" si="1"/>
        <v/>
      </c>
      <c r="F42" s="19"/>
      <c r="G42" s="23"/>
      <c r="H42" s="19"/>
      <c r="I42" s="19"/>
      <c r="J42" s="19"/>
      <c r="K42" s="19"/>
      <c r="L42" s="30" t="str">
        <f>IFERROR(IF(K42="","",VLOOKUP(K42,Lists!$K$2:$O$61,5,FALSE)),"")</f>
        <v/>
      </c>
      <c r="M42" s="18" t="str">
        <f>IFERROR(IF(K42="","",VLOOKUP(K42,Lists!$K$2:$O$61,2,FALSE)),"")</f>
        <v/>
      </c>
      <c r="N42" s="18" t="str">
        <f>IFERROR(IF(K42="","",VLOOKUP(K42,Lists!$K$2:$O$61,3,FALSE)),"")</f>
        <v/>
      </c>
      <c r="O42" s="19"/>
      <c r="P42" s="31"/>
      <c r="Q42" s="32"/>
      <c r="R42" s="27"/>
    </row>
    <row r="43" ht="13.5" customHeight="1">
      <c r="A43" s="14"/>
      <c r="B43" s="18" t="str">
        <f>IF(A43="","",IFERROR(LOOKUP(A43,Lists!$U$2:$U$14,Lists!$T$2:$T$14),""))</f>
        <v/>
      </c>
      <c r="C43" s="19"/>
      <c r="D43" s="19"/>
      <c r="E43" s="18" t="str">
        <f t="shared" si="1"/>
        <v/>
      </c>
      <c r="F43" s="19"/>
      <c r="G43" s="23"/>
      <c r="H43" s="19"/>
      <c r="I43" s="19"/>
      <c r="J43" s="19"/>
      <c r="K43" s="19"/>
      <c r="L43" s="30" t="str">
        <f>IFERROR(IF(K43="","",VLOOKUP(K43,Lists!$K$2:$O$61,5,FALSE)),"")</f>
        <v/>
      </c>
      <c r="M43" s="18" t="str">
        <f>IFERROR(IF(K43="","",VLOOKUP(K43,Lists!$K$2:$O$61,2,FALSE)),"")</f>
        <v/>
      </c>
      <c r="N43" s="18" t="str">
        <f>IFERROR(IF(K43="","",VLOOKUP(K43,Lists!$K$2:$O$61,3,FALSE)),"")</f>
        <v/>
      </c>
      <c r="O43" s="19"/>
      <c r="P43" s="31"/>
      <c r="Q43" s="32"/>
      <c r="R43" s="27"/>
    </row>
    <row r="44" ht="13.5" customHeight="1">
      <c r="A44" s="14"/>
      <c r="B44" s="18" t="str">
        <f>IF(A44="","",IFERROR(LOOKUP(A44,Lists!$U$2:$U$14,Lists!$T$2:$T$14),""))</f>
        <v/>
      </c>
      <c r="C44" s="19"/>
      <c r="D44" s="19"/>
      <c r="E44" s="18" t="str">
        <f t="shared" si="1"/>
        <v/>
      </c>
      <c r="F44" s="19"/>
      <c r="G44" s="23"/>
      <c r="H44" s="19"/>
      <c r="I44" s="19"/>
      <c r="J44" s="19"/>
      <c r="K44" s="19"/>
      <c r="L44" s="30" t="str">
        <f>IFERROR(IF(K44="","",VLOOKUP(K44,Lists!$K$2:$O$61,5,FALSE)),"")</f>
        <v/>
      </c>
      <c r="M44" s="18" t="str">
        <f>IFERROR(IF(K44="","",VLOOKUP(K44,Lists!$K$2:$O$61,2,FALSE)),"")</f>
        <v/>
      </c>
      <c r="N44" s="18" t="str">
        <f>IFERROR(IF(K44="","",VLOOKUP(K44,Lists!$K$2:$O$61,3,FALSE)),"")</f>
        <v/>
      </c>
      <c r="O44" s="19"/>
      <c r="P44" s="31"/>
      <c r="Q44" s="32"/>
      <c r="R44" s="27"/>
    </row>
    <row r="45" ht="13.5" customHeight="1">
      <c r="A45" s="14"/>
      <c r="B45" s="18" t="str">
        <f>IF(A45="","",IFERROR(LOOKUP(A45,Lists!$U$2:$U$14,Lists!$T$2:$T$14),""))</f>
        <v/>
      </c>
      <c r="C45" s="19"/>
      <c r="D45" s="19"/>
      <c r="E45" s="18" t="str">
        <f t="shared" si="1"/>
        <v/>
      </c>
      <c r="F45" s="19"/>
      <c r="G45" s="23"/>
      <c r="H45" s="19"/>
      <c r="I45" s="19"/>
      <c r="J45" s="19"/>
      <c r="K45" s="19"/>
      <c r="L45" s="30" t="str">
        <f>IFERROR(IF(K45="","",VLOOKUP(K45,Lists!$K$2:$O$61,5,FALSE)),"")</f>
        <v/>
      </c>
      <c r="M45" s="18" t="str">
        <f>IFERROR(IF(K45="","",VLOOKUP(K45,Lists!$K$2:$O$61,2,FALSE)),"")</f>
        <v/>
      </c>
      <c r="N45" s="18" t="str">
        <f>IFERROR(IF(K45="","",VLOOKUP(K45,Lists!$K$2:$O$61,3,FALSE)),"")</f>
        <v/>
      </c>
      <c r="O45" s="19"/>
      <c r="P45" s="31"/>
      <c r="Q45" s="32"/>
      <c r="R45" s="27"/>
    </row>
    <row r="46" ht="13.5" customHeight="1">
      <c r="A46" s="14"/>
      <c r="B46" s="18" t="str">
        <f>IF(A46="","",IFERROR(LOOKUP(A46,Lists!$U$2:$U$14,Lists!$T$2:$T$14),""))</f>
        <v/>
      </c>
      <c r="C46" s="19"/>
      <c r="D46" s="19"/>
      <c r="E46" s="18" t="str">
        <f t="shared" si="1"/>
        <v/>
      </c>
      <c r="F46" s="19"/>
      <c r="G46" s="23"/>
      <c r="H46" s="19"/>
      <c r="I46" s="19"/>
      <c r="J46" s="19"/>
      <c r="K46" s="19"/>
      <c r="L46" s="30" t="str">
        <f>IFERROR(IF(K46="","",VLOOKUP(K46,Lists!$K$2:$O$61,5,FALSE)),"")</f>
        <v/>
      </c>
      <c r="M46" s="18" t="str">
        <f>IFERROR(IF(K46="","",VLOOKUP(K46,Lists!$K$2:$O$61,2,FALSE)),"")</f>
        <v/>
      </c>
      <c r="N46" s="18" t="str">
        <f>IFERROR(IF(K46="","",VLOOKUP(K46,Lists!$K$2:$O$61,3,FALSE)),"")</f>
        <v/>
      </c>
      <c r="O46" s="19"/>
      <c r="P46" s="31"/>
      <c r="Q46" s="32"/>
      <c r="R46" s="27"/>
    </row>
    <row r="47" ht="13.5" customHeight="1">
      <c r="A47" s="14"/>
      <c r="B47" s="18" t="str">
        <f>IF(A47="","",IFERROR(LOOKUP(A47,Lists!$U$2:$U$14,Lists!$T$2:$T$14),""))</f>
        <v/>
      </c>
      <c r="C47" s="19"/>
      <c r="D47" s="19"/>
      <c r="E47" s="18" t="str">
        <f t="shared" si="1"/>
        <v/>
      </c>
      <c r="F47" s="19"/>
      <c r="G47" s="23"/>
      <c r="H47" s="19"/>
      <c r="I47" s="19"/>
      <c r="J47" s="19"/>
      <c r="K47" s="19"/>
      <c r="L47" s="30" t="str">
        <f>IFERROR(IF(K47="","",VLOOKUP(K47,Lists!$K$2:$O$61,5,FALSE)),"")</f>
        <v/>
      </c>
      <c r="M47" s="18" t="str">
        <f>IFERROR(IF(K47="","",VLOOKUP(K47,Lists!$K$2:$O$61,2,FALSE)),"")</f>
        <v/>
      </c>
      <c r="N47" s="18" t="str">
        <f>IFERROR(IF(K47="","",VLOOKUP(K47,Lists!$K$2:$O$61,3,FALSE)),"")</f>
        <v/>
      </c>
      <c r="O47" s="19"/>
      <c r="P47" s="31"/>
      <c r="Q47" s="32"/>
      <c r="R47" s="27"/>
    </row>
    <row r="48" ht="13.5" customHeight="1">
      <c r="A48" s="14"/>
      <c r="B48" s="18" t="str">
        <f>IF(A48="","",IFERROR(LOOKUP(A48,Lists!$U$2:$U$14,Lists!$T$2:$T$14),""))</f>
        <v/>
      </c>
      <c r="C48" s="19"/>
      <c r="D48" s="19"/>
      <c r="E48" s="18" t="str">
        <f t="shared" si="1"/>
        <v/>
      </c>
      <c r="F48" s="19"/>
      <c r="G48" s="23"/>
      <c r="H48" s="19"/>
      <c r="I48" s="19"/>
      <c r="J48" s="19"/>
      <c r="K48" s="19"/>
      <c r="L48" s="30" t="str">
        <f>IFERROR(IF(K48="","",VLOOKUP(K48,Lists!$K$2:$O$61,5,FALSE)),"")</f>
        <v/>
      </c>
      <c r="M48" s="18" t="str">
        <f>IFERROR(IF(K48="","",VLOOKUP(K48,Lists!$K$2:$O$61,2,FALSE)),"")</f>
        <v/>
      </c>
      <c r="N48" s="18" t="str">
        <f>IFERROR(IF(K48="","",VLOOKUP(K48,Lists!$K$2:$O$61,3,FALSE)),"")</f>
        <v/>
      </c>
      <c r="O48" s="19"/>
      <c r="P48" s="31"/>
      <c r="Q48" s="32"/>
      <c r="R48" s="27"/>
    </row>
    <row r="49" ht="13.5" customHeight="1">
      <c r="A49" s="14"/>
      <c r="B49" s="18" t="str">
        <f>IF(A49="","",IFERROR(LOOKUP(A49,Lists!$U$2:$U$14,Lists!$T$2:$T$14),""))</f>
        <v/>
      </c>
      <c r="C49" s="19"/>
      <c r="D49" s="19"/>
      <c r="E49" s="18" t="str">
        <f t="shared" si="1"/>
        <v/>
      </c>
      <c r="F49" s="19"/>
      <c r="G49" s="23"/>
      <c r="H49" s="19"/>
      <c r="I49" s="19"/>
      <c r="J49" s="19"/>
      <c r="K49" s="19"/>
      <c r="L49" s="30" t="str">
        <f>IFERROR(IF(K49="","",VLOOKUP(K49,Lists!$K$2:$O$61,5,FALSE)),"")</f>
        <v/>
      </c>
      <c r="M49" s="18" t="str">
        <f>IFERROR(IF(K49="","",VLOOKUP(K49,Lists!$K$2:$O$61,2,FALSE)),"")</f>
        <v/>
      </c>
      <c r="N49" s="18" t="str">
        <f>IFERROR(IF(K49="","",VLOOKUP(K49,Lists!$K$2:$O$61,3,FALSE)),"")</f>
        <v/>
      </c>
      <c r="O49" s="19"/>
      <c r="P49" s="31"/>
      <c r="Q49" s="32"/>
      <c r="R49" s="27"/>
    </row>
    <row r="50" ht="13.5" customHeight="1">
      <c r="A50" s="14"/>
      <c r="B50" s="18" t="str">
        <f>IF(A50="","",IFERROR(LOOKUP(A50,Lists!$U$2:$U$14,Lists!$T$2:$T$14),""))</f>
        <v/>
      </c>
      <c r="C50" s="19"/>
      <c r="D50" s="19"/>
      <c r="E50" s="18" t="str">
        <f t="shared" si="1"/>
        <v/>
      </c>
      <c r="F50" s="19"/>
      <c r="G50" s="23"/>
      <c r="H50" s="19"/>
      <c r="I50" s="19"/>
      <c r="J50" s="19"/>
      <c r="K50" s="19"/>
      <c r="L50" s="30" t="str">
        <f>IFERROR(IF(K50="","",VLOOKUP(K50,Lists!$K$2:$O$61,5,FALSE)),"")</f>
        <v/>
      </c>
      <c r="M50" s="18" t="str">
        <f>IFERROR(IF(K50="","",VLOOKUP(K50,Lists!$K$2:$O$61,2,FALSE)),"")</f>
        <v/>
      </c>
      <c r="N50" s="18" t="str">
        <f>IFERROR(IF(K50="","",VLOOKUP(K50,Lists!$K$2:$O$61,3,FALSE)),"")</f>
        <v/>
      </c>
      <c r="O50" s="19"/>
      <c r="P50" s="31"/>
      <c r="Q50" s="32"/>
      <c r="R50" s="27"/>
    </row>
    <row r="51" ht="13.5" customHeight="1">
      <c r="A51" s="14"/>
      <c r="B51" s="18" t="str">
        <f>IF(A51="","",IFERROR(LOOKUP(A51,Lists!$U$2:$U$14,Lists!$T$2:$T$14),""))</f>
        <v/>
      </c>
      <c r="C51" s="19"/>
      <c r="D51" s="19"/>
      <c r="E51" s="18" t="str">
        <f t="shared" si="1"/>
        <v/>
      </c>
      <c r="F51" s="19"/>
      <c r="G51" s="23"/>
      <c r="H51" s="19"/>
      <c r="I51" s="19"/>
      <c r="J51" s="19"/>
      <c r="K51" s="19"/>
      <c r="L51" s="30" t="str">
        <f>IFERROR(IF(K51="","",VLOOKUP(K51,Lists!$K$2:$O$61,5,FALSE)),"")</f>
        <v/>
      </c>
      <c r="M51" s="18" t="str">
        <f>IFERROR(IF(K51="","",VLOOKUP(K51,Lists!$K$2:$O$61,2,FALSE)),"")</f>
        <v/>
      </c>
      <c r="N51" s="18" t="str">
        <f>IFERROR(IF(K51="","",VLOOKUP(K51,Lists!$K$2:$O$61,3,FALSE)),"")</f>
        <v/>
      </c>
      <c r="O51" s="19"/>
      <c r="P51" s="31"/>
      <c r="Q51" s="32"/>
      <c r="R51" s="27"/>
    </row>
    <row r="52" ht="13.5" customHeight="1">
      <c r="A52" s="14"/>
      <c r="B52" s="18" t="str">
        <f>IF(A52="","",IFERROR(LOOKUP(A52,Lists!$U$2:$U$14,Lists!$T$2:$T$14),""))</f>
        <v/>
      </c>
      <c r="C52" s="19"/>
      <c r="D52" s="19"/>
      <c r="E52" s="18" t="str">
        <f t="shared" si="1"/>
        <v/>
      </c>
      <c r="F52" s="19"/>
      <c r="G52" s="23"/>
      <c r="H52" s="19"/>
      <c r="I52" s="19"/>
      <c r="J52" s="19"/>
      <c r="K52" s="19"/>
      <c r="L52" s="30" t="str">
        <f>IFERROR(IF(K52="","",VLOOKUP(K52,Lists!$K$2:$O$61,5,FALSE)),"")</f>
        <v/>
      </c>
      <c r="M52" s="18" t="str">
        <f>IFERROR(IF(K52="","",VLOOKUP(K52,Lists!$K$2:$O$61,2,FALSE)),"")</f>
        <v/>
      </c>
      <c r="N52" s="18" t="str">
        <f>IFERROR(IF(K52="","",VLOOKUP(K52,Lists!$K$2:$O$61,3,FALSE)),"")</f>
        <v/>
      </c>
      <c r="O52" s="19"/>
      <c r="P52" s="31"/>
      <c r="Q52" s="32"/>
      <c r="R52" s="27"/>
    </row>
    <row r="53" ht="13.5" customHeight="1">
      <c r="A53" s="14"/>
      <c r="B53" s="18" t="str">
        <f>IF(A53="","",IFERROR(LOOKUP(A53,Lists!$U$2:$U$14,Lists!$T$2:$T$14),""))</f>
        <v/>
      </c>
      <c r="C53" s="19"/>
      <c r="D53" s="19"/>
      <c r="E53" s="18" t="str">
        <f t="shared" si="1"/>
        <v/>
      </c>
      <c r="F53" s="19"/>
      <c r="G53" s="23"/>
      <c r="H53" s="19"/>
      <c r="I53" s="19"/>
      <c r="J53" s="19"/>
      <c r="K53" s="19"/>
      <c r="L53" s="30" t="str">
        <f>IFERROR(IF(K53="","",VLOOKUP(K53,Lists!$K$2:$O$61,5,FALSE)),"")</f>
        <v/>
      </c>
      <c r="M53" s="18" t="str">
        <f>IFERROR(IF(K53="","",VLOOKUP(K53,Lists!$K$2:$O$61,2,FALSE)),"")</f>
        <v/>
      </c>
      <c r="N53" s="18" t="str">
        <f>IFERROR(IF(K53="","",VLOOKUP(K53,Lists!$K$2:$O$61,3,FALSE)),"")</f>
        <v/>
      </c>
      <c r="O53" s="19"/>
      <c r="P53" s="31"/>
      <c r="Q53" s="32"/>
      <c r="R53" s="27"/>
    </row>
    <row r="54" ht="13.5" customHeight="1">
      <c r="A54" s="14"/>
      <c r="B54" s="18" t="str">
        <f>IF(A54="","",IFERROR(LOOKUP(A54,Lists!$U$2:$U$14,Lists!$T$2:$T$14),""))</f>
        <v/>
      </c>
      <c r="C54" s="19"/>
      <c r="D54" s="19"/>
      <c r="E54" s="18" t="str">
        <f t="shared" si="1"/>
        <v/>
      </c>
      <c r="F54" s="19"/>
      <c r="G54" s="23"/>
      <c r="H54" s="19"/>
      <c r="I54" s="19"/>
      <c r="J54" s="19"/>
      <c r="K54" s="19"/>
      <c r="L54" s="30" t="str">
        <f>IFERROR(IF(K54="","",VLOOKUP(K54,Lists!$K$2:$O$61,5,FALSE)),"")</f>
        <v/>
      </c>
      <c r="M54" s="18" t="str">
        <f>IFERROR(IF(K54="","",VLOOKUP(K54,Lists!$K$2:$O$61,2,FALSE)),"")</f>
        <v/>
      </c>
      <c r="N54" s="18" t="str">
        <f>IFERROR(IF(K54="","",VLOOKUP(K54,Lists!$K$2:$O$61,3,FALSE)),"")</f>
        <v/>
      </c>
      <c r="O54" s="19"/>
      <c r="P54" s="31"/>
      <c r="Q54" s="32"/>
      <c r="R54" s="27"/>
    </row>
    <row r="55" ht="13.5" customHeight="1">
      <c r="A55" s="14"/>
      <c r="B55" s="18" t="str">
        <f>IF(A55="","",IFERROR(LOOKUP(A55,Lists!$U$2:$U$14,Lists!$T$2:$T$14),""))</f>
        <v/>
      </c>
      <c r="C55" s="19"/>
      <c r="D55" s="19"/>
      <c r="E55" s="18" t="str">
        <f t="shared" si="1"/>
        <v/>
      </c>
      <c r="F55" s="19"/>
      <c r="G55" s="23"/>
      <c r="H55" s="19"/>
      <c r="I55" s="19"/>
      <c r="J55" s="19"/>
      <c r="K55" s="19"/>
      <c r="L55" s="30" t="str">
        <f>IFERROR(IF(K55="","",VLOOKUP(K55,Lists!$K$2:$O$61,5,FALSE)),"")</f>
        <v/>
      </c>
      <c r="M55" s="18" t="str">
        <f>IFERROR(IF(K55="","",VLOOKUP(K55,Lists!$K$2:$O$61,2,FALSE)),"")</f>
        <v/>
      </c>
      <c r="N55" s="18" t="str">
        <f>IFERROR(IF(K55="","",VLOOKUP(K55,Lists!$K$2:$O$61,3,FALSE)),"")</f>
        <v/>
      </c>
      <c r="O55" s="19"/>
      <c r="P55" s="31"/>
      <c r="Q55" s="32"/>
      <c r="R55" s="27"/>
    </row>
    <row r="56" ht="13.5" customHeight="1">
      <c r="A56" s="14"/>
      <c r="B56" s="18" t="str">
        <f>IF(A56="","",IFERROR(LOOKUP(A56,Lists!$U$2:$U$14,Lists!$T$2:$T$14),""))</f>
        <v/>
      </c>
      <c r="C56" s="19"/>
      <c r="D56" s="19"/>
      <c r="E56" s="18" t="str">
        <f t="shared" si="1"/>
        <v/>
      </c>
      <c r="F56" s="19"/>
      <c r="G56" s="23"/>
      <c r="H56" s="19"/>
      <c r="I56" s="19"/>
      <c r="J56" s="19"/>
      <c r="K56" s="19"/>
      <c r="L56" s="30" t="str">
        <f>IFERROR(IF(K56="","",VLOOKUP(K56,Lists!$K$2:$O$61,5,FALSE)),"")</f>
        <v/>
      </c>
      <c r="M56" s="18" t="str">
        <f>IFERROR(IF(K56="","",VLOOKUP(K56,Lists!$K$2:$O$61,2,FALSE)),"")</f>
        <v/>
      </c>
      <c r="N56" s="18" t="str">
        <f>IFERROR(IF(K56="","",VLOOKUP(K56,Lists!$K$2:$O$61,3,FALSE)),"")</f>
        <v/>
      </c>
      <c r="O56" s="19"/>
      <c r="P56" s="31"/>
      <c r="Q56" s="32"/>
      <c r="R56" s="27"/>
    </row>
    <row r="57" ht="13.5" customHeight="1">
      <c r="A57" s="14"/>
      <c r="B57" s="18" t="str">
        <f>IF(A57="","",IFERROR(LOOKUP(A57,Lists!$U$2:$U$14,Lists!$T$2:$T$14),""))</f>
        <v/>
      </c>
      <c r="C57" s="19"/>
      <c r="D57" s="19"/>
      <c r="E57" s="18" t="str">
        <f t="shared" si="1"/>
        <v/>
      </c>
      <c r="F57" s="19"/>
      <c r="G57" s="23"/>
      <c r="H57" s="19"/>
      <c r="I57" s="19"/>
      <c r="J57" s="19"/>
      <c r="K57" s="19"/>
      <c r="L57" s="30" t="str">
        <f>IFERROR(IF(K57="","",VLOOKUP(K57,Lists!$K$2:$O$61,5,FALSE)),"")</f>
        <v/>
      </c>
      <c r="M57" s="18" t="str">
        <f>IFERROR(IF(K57="","",VLOOKUP(K57,Lists!$K$2:$O$61,2,FALSE)),"")</f>
        <v/>
      </c>
      <c r="N57" s="18" t="str">
        <f>IFERROR(IF(K57="","",VLOOKUP(K57,Lists!$K$2:$O$61,3,FALSE)),"")</f>
        <v/>
      </c>
      <c r="O57" s="19"/>
      <c r="P57" s="31"/>
      <c r="Q57" s="32"/>
      <c r="R57" s="27"/>
    </row>
    <row r="58" ht="13.5" customHeight="1">
      <c r="A58" s="14"/>
      <c r="B58" s="18" t="str">
        <f>IF(A58="","",IFERROR(LOOKUP(A58,Lists!$U$2:$U$14,Lists!$T$2:$T$14),""))</f>
        <v/>
      </c>
      <c r="C58" s="19"/>
      <c r="D58" s="19"/>
      <c r="E58" s="18" t="str">
        <f t="shared" si="1"/>
        <v/>
      </c>
      <c r="F58" s="19"/>
      <c r="G58" s="23"/>
      <c r="H58" s="19"/>
      <c r="I58" s="19"/>
      <c r="J58" s="19"/>
      <c r="K58" s="19"/>
      <c r="L58" s="30" t="str">
        <f>IFERROR(IF(K58="","",VLOOKUP(K58,Lists!$K$2:$O$61,5,FALSE)),"")</f>
        <v/>
      </c>
      <c r="M58" s="18" t="str">
        <f>IFERROR(IF(K58="","",VLOOKUP(K58,Lists!$K$2:$O$61,2,FALSE)),"")</f>
        <v/>
      </c>
      <c r="N58" s="18" t="str">
        <f>IFERROR(IF(K58="","",VLOOKUP(K58,Lists!$K$2:$O$61,3,FALSE)),"")</f>
        <v/>
      </c>
      <c r="O58" s="19"/>
      <c r="P58" s="31"/>
      <c r="Q58" s="32"/>
      <c r="R58" s="27"/>
    </row>
    <row r="59" ht="13.5" customHeight="1">
      <c r="A59" s="14"/>
      <c r="B59" s="18" t="str">
        <f>IF(A59="","",IFERROR(LOOKUP(A59,Lists!$U$2:$U$14,Lists!$T$2:$T$14),""))</f>
        <v/>
      </c>
      <c r="C59" s="19"/>
      <c r="D59" s="19"/>
      <c r="E59" s="18" t="str">
        <f t="shared" si="1"/>
        <v/>
      </c>
      <c r="F59" s="19"/>
      <c r="G59" s="23"/>
      <c r="H59" s="19"/>
      <c r="I59" s="19"/>
      <c r="J59" s="19"/>
      <c r="K59" s="19"/>
      <c r="L59" s="30" t="str">
        <f>IFERROR(IF(K59="","",VLOOKUP(K59,Lists!$K$2:$O$61,5,FALSE)),"")</f>
        <v/>
      </c>
      <c r="M59" s="18" t="str">
        <f>IFERROR(IF(K59="","",VLOOKUP(K59,Lists!$K$2:$O$61,2,FALSE)),"")</f>
        <v/>
      </c>
      <c r="N59" s="18" t="str">
        <f>IFERROR(IF(K59="","",VLOOKUP(K59,Lists!$K$2:$O$61,3,FALSE)),"")</f>
        <v/>
      </c>
      <c r="O59" s="19"/>
      <c r="P59" s="31"/>
      <c r="Q59" s="32"/>
      <c r="R59" s="27"/>
    </row>
    <row r="60" ht="13.5" customHeight="1">
      <c r="A60" s="14"/>
      <c r="B60" s="18" t="str">
        <f>IF(A60="","",IFERROR(LOOKUP(A60,Lists!$U$2:$U$14,Lists!$T$2:$T$14),""))</f>
        <v/>
      </c>
      <c r="C60" s="19"/>
      <c r="D60" s="19"/>
      <c r="E60" s="18" t="str">
        <f t="shared" si="1"/>
        <v/>
      </c>
      <c r="F60" s="19"/>
      <c r="G60" s="23"/>
      <c r="H60" s="19"/>
      <c r="I60" s="19"/>
      <c r="J60" s="19"/>
      <c r="K60" s="19"/>
      <c r="L60" s="30" t="str">
        <f>IFERROR(IF(K60="","",VLOOKUP(K60,Lists!$K$2:$O$61,5,FALSE)),"")</f>
        <v/>
      </c>
      <c r="M60" s="18" t="str">
        <f>IFERROR(IF(K60="","",VLOOKUP(K60,Lists!$K$2:$O$61,2,FALSE)),"")</f>
        <v/>
      </c>
      <c r="N60" s="18" t="str">
        <f>IFERROR(IF(K60="","",VLOOKUP(K60,Lists!$K$2:$O$61,3,FALSE)),"")</f>
        <v/>
      </c>
      <c r="O60" s="19"/>
      <c r="P60" s="31"/>
      <c r="Q60" s="32"/>
      <c r="R60" s="27"/>
    </row>
    <row r="61" ht="13.5" customHeight="1">
      <c r="A61" s="14"/>
      <c r="B61" s="18" t="str">
        <f>IF(A61="","",IFERROR(LOOKUP(A61,Lists!$U$2:$U$14,Lists!$T$2:$T$14),""))</f>
        <v/>
      </c>
      <c r="C61" s="19"/>
      <c r="D61" s="19"/>
      <c r="E61" s="18" t="str">
        <f t="shared" si="1"/>
        <v/>
      </c>
      <c r="F61" s="19"/>
      <c r="G61" s="23"/>
      <c r="H61" s="19"/>
      <c r="I61" s="19"/>
      <c r="J61" s="19"/>
      <c r="K61" s="19"/>
      <c r="L61" s="30" t="str">
        <f>IFERROR(IF(K61="","",VLOOKUP(K61,Lists!$K$2:$O$61,5,FALSE)),"")</f>
        <v/>
      </c>
      <c r="M61" s="18" t="str">
        <f>IFERROR(IF(K61="","",VLOOKUP(K61,Lists!$K$2:$O$61,2,FALSE)),"")</f>
        <v/>
      </c>
      <c r="N61" s="18" t="str">
        <f>IFERROR(IF(K61="","",VLOOKUP(K61,Lists!$K$2:$O$61,3,FALSE)),"")</f>
        <v/>
      </c>
      <c r="O61" s="19"/>
      <c r="P61" s="31"/>
      <c r="Q61" s="32"/>
      <c r="R61" s="27"/>
    </row>
    <row r="62" ht="13.5" customHeight="1">
      <c r="A62" s="14"/>
      <c r="B62" s="18" t="str">
        <f>IF(A62="","",IFERROR(LOOKUP(A62,Lists!$U$2:$U$14,Lists!$T$2:$T$14),""))</f>
        <v/>
      </c>
      <c r="C62" s="19"/>
      <c r="D62" s="19"/>
      <c r="E62" s="18" t="str">
        <f t="shared" si="1"/>
        <v/>
      </c>
      <c r="F62" s="19"/>
      <c r="G62" s="23"/>
      <c r="H62" s="19"/>
      <c r="I62" s="19"/>
      <c r="J62" s="19"/>
      <c r="K62" s="19"/>
      <c r="L62" s="30" t="str">
        <f>IFERROR(IF(K62="","",VLOOKUP(K62,Lists!$K$2:$O$61,5,FALSE)),"")</f>
        <v/>
      </c>
      <c r="M62" s="18" t="str">
        <f>IFERROR(IF(K62="","",VLOOKUP(K62,Lists!$K$2:$O$61,2,FALSE)),"")</f>
        <v/>
      </c>
      <c r="N62" s="18" t="str">
        <f>IFERROR(IF(K62="","",VLOOKUP(K62,Lists!$K$2:$O$61,3,FALSE)),"")</f>
        <v/>
      </c>
      <c r="O62" s="19"/>
      <c r="P62" s="31"/>
      <c r="Q62" s="32"/>
      <c r="R62" s="27"/>
    </row>
    <row r="63" ht="13.5" customHeight="1">
      <c r="A63" s="14"/>
      <c r="B63" s="18" t="str">
        <f>IF(A63="","",IFERROR(LOOKUP(A63,Lists!$U$2:$U$14,Lists!$T$2:$T$14),""))</f>
        <v/>
      </c>
      <c r="C63" s="19"/>
      <c r="D63" s="19"/>
      <c r="E63" s="18" t="str">
        <f t="shared" si="1"/>
        <v/>
      </c>
      <c r="F63" s="19"/>
      <c r="G63" s="23"/>
      <c r="H63" s="19"/>
      <c r="I63" s="19"/>
      <c r="J63" s="19"/>
      <c r="K63" s="19"/>
      <c r="L63" s="30" t="str">
        <f>IFERROR(IF(K63="","",VLOOKUP(K63,Lists!$K$2:$O$61,5,FALSE)),"")</f>
        <v/>
      </c>
      <c r="M63" s="18" t="str">
        <f>IFERROR(IF(K63="","",VLOOKUP(K63,Lists!$K$2:$O$61,2,FALSE)),"")</f>
        <v/>
      </c>
      <c r="N63" s="18" t="str">
        <f>IFERROR(IF(K63="","",VLOOKUP(K63,Lists!$K$2:$O$61,3,FALSE)),"")</f>
        <v/>
      </c>
      <c r="O63" s="19"/>
      <c r="P63" s="31"/>
      <c r="Q63" s="32"/>
      <c r="R63" s="27"/>
    </row>
    <row r="64" ht="13.5" customHeight="1">
      <c r="A64" s="14"/>
      <c r="B64" s="18" t="str">
        <f>IF(A64="","",IFERROR(LOOKUP(A64,Lists!$U$2:$U$14,Lists!$T$2:$T$14),""))</f>
        <v/>
      </c>
      <c r="C64" s="19"/>
      <c r="D64" s="19"/>
      <c r="E64" s="18" t="str">
        <f t="shared" si="1"/>
        <v/>
      </c>
      <c r="F64" s="19"/>
      <c r="G64" s="23"/>
      <c r="H64" s="19"/>
      <c r="I64" s="19"/>
      <c r="J64" s="19"/>
      <c r="K64" s="19"/>
      <c r="L64" s="30" t="str">
        <f>IFERROR(IF(K64="","",VLOOKUP(K64,Lists!$K$2:$O$61,5,FALSE)),"")</f>
        <v/>
      </c>
      <c r="M64" s="18" t="str">
        <f>IFERROR(IF(K64="","",VLOOKUP(K64,Lists!$K$2:$O$61,2,FALSE)),"")</f>
        <v/>
      </c>
      <c r="N64" s="18" t="str">
        <f>IFERROR(IF(K64="","",VLOOKUP(K64,Lists!$K$2:$O$61,3,FALSE)),"")</f>
        <v/>
      </c>
      <c r="O64" s="19"/>
      <c r="P64" s="31"/>
      <c r="Q64" s="32"/>
      <c r="R64" s="27"/>
    </row>
    <row r="65" ht="13.5" customHeight="1">
      <c r="A65" s="14"/>
      <c r="B65" s="18" t="str">
        <f>IF(A65="","",IFERROR(LOOKUP(A65,Lists!$U$2:$U$14,Lists!$T$2:$T$14),""))</f>
        <v/>
      </c>
      <c r="C65" s="19"/>
      <c r="D65" s="19"/>
      <c r="E65" s="18" t="str">
        <f t="shared" si="1"/>
        <v/>
      </c>
      <c r="F65" s="19"/>
      <c r="G65" s="23"/>
      <c r="H65" s="19"/>
      <c r="I65" s="19"/>
      <c r="J65" s="19"/>
      <c r="K65" s="19"/>
      <c r="L65" s="30" t="str">
        <f>IFERROR(IF(K65="","",VLOOKUP(K65,Lists!$K$2:$O$61,5,FALSE)),"")</f>
        <v/>
      </c>
      <c r="M65" s="18" t="str">
        <f>IFERROR(IF(K65="","",VLOOKUP(K65,Lists!$K$2:$O$61,2,FALSE)),"")</f>
        <v/>
      </c>
      <c r="N65" s="18" t="str">
        <f>IFERROR(IF(K65="","",VLOOKUP(K65,Lists!$K$2:$O$61,3,FALSE)),"")</f>
        <v/>
      </c>
      <c r="O65" s="19"/>
      <c r="P65" s="31"/>
      <c r="Q65" s="32"/>
      <c r="R65" s="27"/>
    </row>
    <row r="66" ht="13.5" customHeight="1">
      <c r="A66" s="14"/>
      <c r="B66" s="18" t="str">
        <f>IF(A66="","",IFERROR(LOOKUP(A66,Lists!$U$2:$U$14,Lists!$T$2:$T$14),""))</f>
        <v/>
      </c>
      <c r="C66" s="19"/>
      <c r="D66" s="19"/>
      <c r="E66" s="18" t="str">
        <f t="shared" si="1"/>
        <v/>
      </c>
      <c r="F66" s="19"/>
      <c r="G66" s="23"/>
      <c r="H66" s="19"/>
      <c r="I66" s="19"/>
      <c r="J66" s="19"/>
      <c r="K66" s="19"/>
      <c r="L66" s="30" t="str">
        <f>IFERROR(IF(K66="","",VLOOKUP(K66,Lists!$K$2:$O$61,5,FALSE)),"")</f>
        <v/>
      </c>
      <c r="M66" s="18" t="str">
        <f>IFERROR(IF(K66="","",VLOOKUP(K66,Lists!$K$2:$O$61,2,FALSE)),"")</f>
        <v/>
      </c>
      <c r="N66" s="18" t="str">
        <f>IFERROR(IF(K66="","",VLOOKUP(K66,Lists!$K$2:$O$61,3,FALSE)),"")</f>
        <v/>
      </c>
      <c r="O66" s="19"/>
      <c r="P66" s="31"/>
      <c r="Q66" s="32"/>
      <c r="R66" s="27"/>
    </row>
    <row r="67" ht="13.5" customHeight="1">
      <c r="A67" s="14"/>
      <c r="B67" s="18" t="str">
        <f>IF(A67="","",IFERROR(LOOKUP(A67,Lists!$U$2:$U$14,Lists!$T$2:$T$14),""))</f>
        <v/>
      </c>
      <c r="C67" s="19"/>
      <c r="D67" s="19"/>
      <c r="E67" s="18" t="str">
        <f t="shared" si="1"/>
        <v/>
      </c>
      <c r="F67" s="19"/>
      <c r="G67" s="23"/>
      <c r="H67" s="19"/>
      <c r="I67" s="19"/>
      <c r="J67" s="19"/>
      <c r="K67" s="19"/>
      <c r="L67" s="30" t="str">
        <f>IFERROR(IF(K67="","",VLOOKUP(K67,Lists!$K$2:$O$61,5,FALSE)),"")</f>
        <v/>
      </c>
      <c r="M67" s="18" t="str">
        <f>IFERROR(IF(K67="","",VLOOKUP(K67,Lists!$K$2:$O$61,2,FALSE)),"")</f>
        <v/>
      </c>
      <c r="N67" s="18" t="str">
        <f>IFERROR(IF(K67="","",VLOOKUP(K67,Lists!$K$2:$O$61,3,FALSE)),"")</f>
        <v/>
      </c>
      <c r="O67" s="19"/>
      <c r="P67" s="31"/>
      <c r="Q67" s="32"/>
      <c r="R67" s="27"/>
    </row>
    <row r="68" ht="13.5" customHeight="1">
      <c r="A68" s="14"/>
      <c r="B68" s="18" t="str">
        <f>IF(A68="","",IFERROR(LOOKUP(A68,Lists!$U$2:$U$14,Lists!$T$2:$T$14),""))</f>
        <v/>
      </c>
      <c r="C68" s="19"/>
      <c r="D68" s="19"/>
      <c r="E68" s="18" t="str">
        <f t="shared" si="1"/>
        <v/>
      </c>
      <c r="F68" s="19"/>
      <c r="G68" s="23"/>
      <c r="H68" s="19"/>
      <c r="I68" s="19"/>
      <c r="J68" s="19"/>
      <c r="K68" s="19"/>
      <c r="L68" s="30" t="str">
        <f>IFERROR(IF(K68="","",VLOOKUP(K68,Lists!$K$2:$O$61,5,FALSE)),"")</f>
        <v/>
      </c>
      <c r="M68" s="18" t="str">
        <f>IFERROR(IF(K68="","",VLOOKUP(K68,Lists!$K$2:$O$61,2,FALSE)),"")</f>
        <v/>
      </c>
      <c r="N68" s="18" t="str">
        <f>IFERROR(IF(K68="","",VLOOKUP(K68,Lists!$K$2:$O$61,3,FALSE)),"")</f>
        <v/>
      </c>
      <c r="O68" s="19"/>
      <c r="P68" s="31"/>
      <c r="Q68" s="32"/>
      <c r="R68" s="27"/>
    </row>
    <row r="69" ht="13.5" customHeight="1">
      <c r="A69" s="14"/>
      <c r="B69" s="18" t="str">
        <f>IF(A69="","",IFERROR(LOOKUP(A69,Lists!$U$2:$U$14,Lists!$T$2:$T$14),""))</f>
        <v/>
      </c>
      <c r="C69" s="19"/>
      <c r="D69" s="19"/>
      <c r="E69" s="18" t="str">
        <f t="shared" si="1"/>
        <v/>
      </c>
      <c r="F69" s="19"/>
      <c r="G69" s="23"/>
      <c r="H69" s="19"/>
      <c r="I69" s="19"/>
      <c r="J69" s="19"/>
      <c r="K69" s="19"/>
      <c r="L69" s="30" t="str">
        <f>IFERROR(IF(K69="","",VLOOKUP(K69,Lists!$K$2:$O$61,5,FALSE)),"")</f>
        <v/>
      </c>
      <c r="M69" s="18" t="str">
        <f>IFERROR(IF(K69="","",VLOOKUP(K69,Lists!$K$2:$O$61,2,FALSE)),"")</f>
        <v/>
      </c>
      <c r="N69" s="18" t="str">
        <f>IFERROR(IF(K69="","",VLOOKUP(K69,Lists!$K$2:$O$61,3,FALSE)),"")</f>
        <v/>
      </c>
      <c r="O69" s="19"/>
      <c r="P69" s="31"/>
      <c r="Q69" s="32"/>
      <c r="R69" s="27"/>
    </row>
    <row r="70" ht="13.5" customHeight="1">
      <c r="A70" s="14"/>
      <c r="B70" s="18" t="str">
        <f>IF(A70="","",IFERROR(LOOKUP(A70,Lists!$U$2:$U$14,Lists!$T$2:$T$14),""))</f>
        <v/>
      </c>
      <c r="C70" s="19"/>
      <c r="D70" s="19"/>
      <c r="E70" s="18" t="str">
        <f t="shared" si="1"/>
        <v/>
      </c>
      <c r="F70" s="19"/>
      <c r="G70" s="23"/>
      <c r="H70" s="19"/>
      <c r="I70" s="19"/>
      <c r="J70" s="19"/>
      <c r="K70" s="19"/>
      <c r="L70" s="30" t="str">
        <f>IFERROR(IF(K70="","",VLOOKUP(K70,Lists!$K$2:$O$61,5,FALSE)),"")</f>
        <v/>
      </c>
      <c r="M70" s="18" t="str">
        <f>IFERROR(IF(K70="","",VLOOKUP(K70,Lists!$K$2:$O$61,2,FALSE)),"")</f>
        <v/>
      </c>
      <c r="N70" s="18" t="str">
        <f>IFERROR(IF(K70="","",VLOOKUP(K70,Lists!$K$2:$O$61,3,FALSE)),"")</f>
        <v/>
      </c>
      <c r="O70" s="19"/>
      <c r="P70" s="31"/>
      <c r="Q70" s="32"/>
      <c r="R70" s="27"/>
    </row>
    <row r="71" ht="13.5" customHeight="1">
      <c r="A71" s="14"/>
      <c r="B71" s="18" t="str">
        <f>IF(A71="","",IFERROR(LOOKUP(A71,Lists!$U$2:$U$14,Lists!$T$2:$T$14),""))</f>
        <v/>
      </c>
      <c r="C71" s="19"/>
      <c r="D71" s="19"/>
      <c r="E71" s="18" t="str">
        <f t="shared" si="1"/>
        <v/>
      </c>
      <c r="F71" s="19"/>
      <c r="G71" s="23"/>
      <c r="H71" s="19"/>
      <c r="I71" s="19"/>
      <c r="J71" s="19"/>
      <c r="K71" s="19"/>
      <c r="L71" s="30" t="str">
        <f>IFERROR(IF(K71="","",VLOOKUP(K71,Lists!$K$2:$O$61,5,FALSE)),"")</f>
        <v/>
      </c>
      <c r="M71" s="18" t="str">
        <f>IFERROR(IF(K71="","",VLOOKUP(K71,Lists!$K$2:$O$61,2,FALSE)),"")</f>
        <v/>
      </c>
      <c r="N71" s="18" t="str">
        <f>IFERROR(IF(K71="","",VLOOKUP(K71,Lists!$K$2:$O$61,3,FALSE)),"")</f>
        <v/>
      </c>
      <c r="O71" s="19"/>
      <c r="P71" s="31"/>
      <c r="Q71" s="32"/>
      <c r="R71" s="27"/>
    </row>
    <row r="72" ht="13.5" customHeight="1">
      <c r="A72" s="14"/>
      <c r="B72" s="18" t="str">
        <f>IF(A72="","",IFERROR(LOOKUP(A72,Lists!$U$2:$U$14,Lists!$T$2:$T$14),""))</f>
        <v/>
      </c>
      <c r="C72" s="19"/>
      <c r="D72" s="19"/>
      <c r="E72" s="18" t="str">
        <f t="shared" si="1"/>
        <v/>
      </c>
      <c r="F72" s="19"/>
      <c r="G72" s="23"/>
      <c r="H72" s="19"/>
      <c r="I72" s="19"/>
      <c r="J72" s="19"/>
      <c r="K72" s="19"/>
      <c r="L72" s="30" t="str">
        <f>IFERROR(IF(K72="","",VLOOKUP(K72,Lists!$K$2:$O$61,5,FALSE)),"")</f>
        <v/>
      </c>
      <c r="M72" s="18" t="str">
        <f>IFERROR(IF(K72="","",VLOOKUP(K72,Lists!$K$2:$O$61,2,FALSE)),"")</f>
        <v/>
      </c>
      <c r="N72" s="18" t="str">
        <f>IFERROR(IF(K72="","",VLOOKUP(K72,Lists!$K$2:$O$61,3,FALSE)),"")</f>
        <v/>
      </c>
      <c r="O72" s="19"/>
      <c r="P72" s="31"/>
      <c r="Q72" s="32"/>
      <c r="R72" s="27"/>
    </row>
    <row r="73" ht="13.5" customHeight="1">
      <c r="A73" s="14"/>
      <c r="B73" s="18" t="str">
        <f>IF(A73="","",IFERROR(LOOKUP(A73,Lists!$U$2:$U$14,Lists!$T$2:$T$14),""))</f>
        <v/>
      </c>
      <c r="C73" s="19"/>
      <c r="D73" s="19"/>
      <c r="E73" s="18" t="str">
        <f t="shared" si="1"/>
        <v/>
      </c>
      <c r="F73" s="19"/>
      <c r="G73" s="23"/>
      <c r="H73" s="19"/>
      <c r="I73" s="19"/>
      <c r="J73" s="19"/>
      <c r="K73" s="19"/>
      <c r="L73" s="30" t="str">
        <f>IFERROR(IF(K73="","",VLOOKUP(K73,Lists!$K$2:$O$61,5,FALSE)),"")</f>
        <v/>
      </c>
      <c r="M73" s="18" t="str">
        <f>IFERROR(IF(K73="","",VLOOKUP(K73,Lists!$K$2:$O$61,2,FALSE)),"")</f>
        <v/>
      </c>
      <c r="N73" s="18" t="str">
        <f>IFERROR(IF(K73="","",VLOOKUP(K73,Lists!$K$2:$O$61,3,FALSE)),"")</f>
        <v/>
      </c>
      <c r="O73" s="19"/>
      <c r="P73" s="31"/>
      <c r="Q73" s="32"/>
      <c r="R73" s="27"/>
    </row>
    <row r="74" ht="13.5" customHeight="1">
      <c r="A74" s="14"/>
      <c r="B74" s="18" t="str">
        <f>IF(A74="","",IFERROR(LOOKUP(A74,Lists!$U$2:$U$14,Lists!$T$2:$T$14),""))</f>
        <v/>
      </c>
      <c r="C74" s="19"/>
      <c r="D74" s="19"/>
      <c r="E74" s="18" t="str">
        <f t="shared" si="1"/>
        <v/>
      </c>
      <c r="F74" s="19"/>
      <c r="G74" s="23"/>
      <c r="H74" s="19"/>
      <c r="I74" s="19"/>
      <c r="J74" s="19"/>
      <c r="K74" s="19"/>
      <c r="L74" s="30" t="str">
        <f>IFERROR(IF(K74="","",VLOOKUP(K74,Lists!$K$2:$O$61,5,FALSE)),"")</f>
        <v/>
      </c>
      <c r="M74" s="18" t="str">
        <f>IFERROR(IF(K74="","",VLOOKUP(K74,Lists!$K$2:$O$61,2,FALSE)),"")</f>
        <v/>
      </c>
      <c r="N74" s="18" t="str">
        <f>IFERROR(IF(K74="","",VLOOKUP(K74,Lists!$K$2:$O$61,3,FALSE)),"")</f>
        <v/>
      </c>
      <c r="O74" s="19"/>
      <c r="P74" s="31"/>
      <c r="Q74" s="32"/>
      <c r="R74" s="27"/>
    </row>
    <row r="75" ht="13.5" customHeight="1">
      <c r="A75" s="14"/>
      <c r="B75" s="18" t="str">
        <f>IF(A75="","",IFERROR(LOOKUP(A75,Lists!$U$2:$U$14,Lists!$T$2:$T$14),""))</f>
        <v/>
      </c>
      <c r="C75" s="19"/>
      <c r="D75" s="19"/>
      <c r="E75" s="18" t="str">
        <f t="shared" si="1"/>
        <v/>
      </c>
      <c r="F75" s="19"/>
      <c r="G75" s="23"/>
      <c r="H75" s="19"/>
      <c r="I75" s="19"/>
      <c r="J75" s="19"/>
      <c r="K75" s="19"/>
      <c r="L75" s="30" t="str">
        <f>IFERROR(IF(K75="","",VLOOKUP(K75,Lists!$K$2:$O$61,5,FALSE)),"")</f>
        <v/>
      </c>
      <c r="M75" s="18" t="str">
        <f>IFERROR(IF(K75="","",VLOOKUP(K75,Lists!$K$2:$O$61,2,FALSE)),"")</f>
        <v/>
      </c>
      <c r="N75" s="18" t="str">
        <f>IFERROR(IF(K75="","",VLOOKUP(K75,Lists!$K$2:$O$61,3,FALSE)),"")</f>
        <v/>
      </c>
      <c r="O75" s="19"/>
      <c r="P75" s="31"/>
      <c r="Q75" s="32"/>
      <c r="R75" s="27"/>
    </row>
    <row r="76" ht="13.5" customHeight="1">
      <c r="A76" s="14"/>
      <c r="B76" s="18" t="str">
        <f>IF(A76="","",IFERROR(LOOKUP(A76,Lists!$U$2:$U$14,Lists!$T$2:$T$14),""))</f>
        <v/>
      </c>
      <c r="C76" s="19"/>
      <c r="D76" s="19"/>
      <c r="E76" s="18" t="str">
        <f t="shared" si="1"/>
        <v/>
      </c>
      <c r="F76" s="19"/>
      <c r="G76" s="23"/>
      <c r="H76" s="19"/>
      <c r="I76" s="19"/>
      <c r="J76" s="19"/>
      <c r="K76" s="19"/>
      <c r="L76" s="30" t="str">
        <f>IFERROR(IF(K76="","",VLOOKUP(K76,Lists!$K$2:$O$61,5,FALSE)),"")</f>
        <v/>
      </c>
      <c r="M76" s="18" t="str">
        <f>IFERROR(IF(K76="","",VLOOKUP(K76,Lists!$K$2:$O$61,2,FALSE)),"")</f>
        <v/>
      </c>
      <c r="N76" s="18" t="str">
        <f>IFERROR(IF(K76="","",VLOOKUP(K76,Lists!$K$2:$O$61,3,FALSE)),"")</f>
        <v/>
      </c>
      <c r="O76" s="19"/>
      <c r="P76" s="31"/>
      <c r="Q76" s="32"/>
      <c r="R76" s="27"/>
    </row>
    <row r="77" ht="13.5" customHeight="1">
      <c r="A77" s="14"/>
      <c r="B77" s="18" t="str">
        <f>IF(A77="","",IFERROR(LOOKUP(A77,Lists!$U$2:$U$14,Lists!$T$2:$T$14),""))</f>
        <v/>
      </c>
      <c r="C77" s="19"/>
      <c r="D77" s="19"/>
      <c r="E77" s="18" t="str">
        <f t="shared" si="1"/>
        <v/>
      </c>
      <c r="F77" s="19"/>
      <c r="G77" s="23"/>
      <c r="H77" s="19"/>
      <c r="I77" s="19"/>
      <c r="J77" s="19"/>
      <c r="K77" s="19"/>
      <c r="L77" s="30" t="str">
        <f>IFERROR(IF(K77="","",VLOOKUP(K77,Lists!$K$2:$O$61,5,FALSE)),"")</f>
        <v/>
      </c>
      <c r="M77" s="18" t="str">
        <f>IFERROR(IF(K77="","",VLOOKUP(K77,Lists!$K$2:$O$61,2,FALSE)),"")</f>
        <v/>
      </c>
      <c r="N77" s="18" t="str">
        <f>IFERROR(IF(K77="","",VLOOKUP(K77,Lists!$K$2:$O$61,3,FALSE)),"")</f>
        <v/>
      </c>
      <c r="O77" s="19"/>
      <c r="P77" s="31"/>
      <c r="Q77" s="32"/>
      <c r="R77" s="27"/>
    </row>
    <row r="78" ht="13.5" customHeight="1">
      <c r="A78" s="14"/>
      <c r="B78" s="18" t="str">
        <f>IF(A78="","",IFERROR(LOOKUP(A78,Lists!$U$2:$U$14,Lists!$T$2:$T$14),""))</f>
        <v/>
      </c>
      <c r="C78" s="19"/>
      <c r="D78" s="19"/>
      <c r="E78" s="18" t="str">
        <f t="shared" si="1"/>
        <v/>
      </c>
      <c r="F78" s="19"/>
      <c r="G78" s="23"/>
      <c r="H78" s="19"/>
      <c r="I78" s="19"/>
      <c r="J78" s="19"/>
      <c r="K78" s="19"/>
      <c r="L78" s="30" t="str">
        <f>IFERROR(IF(K78="","",VLOOKUP(K78,Lists!$K$2:$O$61,5,FALSE)),"")</f>
        <v/>
      </c>
      <c r="M78" s="18" t="str">
        <f>IFERROR(IF(K78="","",VLOOKUP(K78,Lists!$K$2:$O$61,2,FALSE)),"")</f>
        <v/>
      </c>
      <c r="N78" s="18" t="str">
        <f>IFERROR(IF(K78="","",VLOOKUP(K78,Lists!$K$2:$O$61,3,FALSE)),"")</f>
        <v/>
      </c>
      <c r="O78" s="19"/>
      <c r="P78" s="31"/>
      <c r="Q78" s="32"/>
      <c r="R78" s="27"/>
    </row>
    <row r="79" ht="13.5" customHeight="1">
      <c r="A79" s="14"/>
      <c r="B79" s="18" t="str">
        <f>IF(A79="","",IFERROR(LOOKUP(A79,Lists!$U$2:$U$14,Lists!$T$2:$T$14),""))</f>
        <v/>
      </c>
      <c r="C79" s="19"/>
      <c r="D79" s="19"/>
      <c r="E79" s="18" t="str">
        <f t="shared" si="1"/>
        <v/>
      </c>
      <c r="F79" s="19"/>
      <c r="G79" s="23"/>
      <c r="H79" s="19"/>
      <c r="I79" s="19"/>
      <c r="J79" s="19"/>
      <c r="K79" s="19"/>
      <c r="L79" s="30" t="str">
        <f>IFERROR(IF(K79="","",VLOOKUP(K79,Lists!$K$2:$O$61,5,FALSE)),"")</f>
        <v/>
      </c>
      <c r="M79" s="18" t="str">
        <f>IFERROR(IF(K79="","",VLOOKUP(K79,Lists!$K$2:$O$61,2,FALSE)),"")</f>
        <v/>
      </c>
      <c r="N79" s="18" t="str">
        <f>IFERROR(IF(K79="","",VLOOKUP(K79,Lists!$K$2:$O$61,3,FALSE)),"")</f>
        <v/>
      </c>
      <c r="O79" s="19"/>
      <c r="P79" s="31"/>
      <c r="Q79" s="32"/>
      <c r="R79" s="27"/>
    </row>
    <row r="80" ht="13.5" customHeight="1">
      <c r="A80" s="14"/>
      <c r="B80" s="18" t="str">
        <f>IF(A80="","",IFERROR(LOOKUP(A80,Lists!$U$2:$U$14,Lists!$T$2:$T$14),""))</f>
        <v/>
      </c>
      <c r="C80" s="19"/>
      <c r="D80" s="19"/>
      <c r="E80" s="18" t="str">
        <f t="shared" si="1"/>
        <v/>
      </c>
      <c r="F80" s="19"/>
      <c r="G80" s="23"/>
      <c r="H80" s="19"/>
      <c r="I80" s="19"/>
      <c r="J80" s="19"/>
      <c r="K80" s="19"/>
      <c r="L80" s="30" t="str">
        <f>IFERROR(IF(K80="","",VLOOKUP(K80,Lists!$K$2:$O$61,5,FALSE)),"")</f>
        <v/>
      </c>
      <c r="M80" s="18" t="str">
        <f>IFERROR(IF(K80="","",VLOOKUP(K80,Lists!$K$2:$O$61,2,FALSE)),"")</f>
        <v/>
      </c>
      <c r="N80" s="18" t="str">
        <f>IFERROR(IF(K80="","",VLOOKUP(K80,Lists!$K$2:$O$61,3,FALSE)),"")</f>
        <v/>
      </c>
      <c r="O80" s="19"/>
      <c r="P80" s="31"/>
      <c r="Q80" s="32"/>
      <c r="R80" s="27"/>
    </row>
    <row r="81" ht="13.5" customHeight="1">
      <c r="A81" s="14"/>
      <c r="B81" s="18" t="str">
        <f>IF(A81="","",IFERROR(LOOKUP(A81,Lists!$U$2:$U$14,Lists!$T$2:$T$14),""))</f>
        <v/>
      </c>
      <c r="C81" s="19"/>
      <c r="D81" s="19"/>
      <c r="E81" s="18" t="str">
        <f t="shared" si="1"/>
        <v/>
      </c>
      <c r="F81" s="19"/>
      <c r="G81" s="23"/>
      <c r="H81" s="19"/>
      <c r="I81" s="19"/>
      <c r="J81" s="19"/>
      <c r="K81" s="19"/>
      <c r="L81" s="30" t="str">
        <f>IFERROR(IF(K81="","",VLOOKUP(K81,Lists!$K$2:$O$61,5,FALSE)),"")</f>
        <v/>
      </c>
      <c r="M81" s="18" t="str">
        <f>IFERROR(IF(K81="","",VLOOKUP(K81,Lists!$K$2:$O$61,2,FALSE)),"")</f>
        <v/>
      </c>
      <c r="N81" s="18" t="str">
        <f>IFERROR(IF(K81="","",VLOOKUP(K81,Lists!$K$2:$O$61,3,FALSE)),"")</f>
        <v/>
      </c>
      <c r="O81" s="19"/>
      <c r="P81" s="31"/>
      <c r="Q81" s="32"/>
      <c r="R81" s="27"/>
    </row>
    <row r="82" ht="13.5" customHeight="1">
      <c r="A82" s="14"/>
      <c r="B82" s="18" t="str">
        <f>IF(A82="","",IFERROR(LOOKUP(A82,Lists!$U$2:$U$14,Lists!$T$2:$T$14),""))</f>
        <v/>
      </c>
      <c r="C82" s="19"/>
      <c r="D82" s="19"/>
      <c r="E82" s="18" t="str">
        <f t="shared" si="1"/>
        <v/>
      </c>
      <c r="F82" s="19"/>
      <c r="G82" s="23"/>
      <c r="H82" s="19"/>
      <c r="I82" s="19"/>
      <c r="J82" s="19"/>
      <c r="K82" s="19"/>
      <c r="L82" s="30" t="str">
        <f>IFERROR(IF(K82="","",VLOOKUP(K82,Lists!$K$2:$O$61,5,FALSE)),"")</f>
        <v/>
      </c>
      <c r="M82" s="18" t="str">
        <f>IFERROR(IF(K82="","",VLOOKUP(K82,Lists!$K$2:$O$61,2,FALSE)),"")</f>
        <v/>
      </c>
      <c r="N82" s="18" t="str">
        <f>IFERROR(IF(K82="","",VLOOKUP(K82,Lists!$K$2:$O$61,3,FALSE)),"")</f>
        <v/>
      </c>
      <c r="O82" s="19"/>
      <c r="P82" s="31"/>
      <c r="Q82" s="32"/>
      <c r="R82" s="27"/>
    </row>
    <row r="83" ht="13.5" customHeight="1">
      <c r="A83" s="14"/>
      <c r="B83" s="18" t="str">
        <f>IF(A83="","",IFERROR(LOOKUP(A83,Lists!$U$2:$U$14,Lists!$T$2:$T$14),""))</f>
        <v/>
      </c>
      <c r="C83" s="19"/>
      <c r="D83" s="19"/>
      <c r="E83" s="18" t="str">
        <f t="shared" si="1"/>
        <v/>
      </c>
      <c r="F83" s="19"/>
      <c r="G83" s="23"/>
      <c r="H83" s="19"/>
      <c r="I83" s="19"/>
      <c r="J83" s="19"/>
      <c r="K83" s="19"/>
      <c r="L83" s="30" t="str">
        <f>IFERROR(IF(K83="","",VLOOKUP(K83,Lists!$K$2:$O$61,5,FALSE)),"")</f>
        <v/>
      </c>
      <c r="M83" s="18" t="str">
        <f>IFERROR(IF(K83="","",VLOOKUP(K83,Lists!$K$2:$O$61,2,FALSE)),"")</f>
        <v/>
      </c>
      <c r="N83" s="18" t="str">
        <f>IFERROR(IF(K83="","",VLOOKUP(K83,Lists!$K$2:$O$61,3,FALSE)),"")</f>
        <v/>
      </c>
      <c r="O83" s="19"/>
      <c r="P83" s="31"/>
      <c r="Q83" s="32"/>
      <c r="R83" s="27"/>
    </row>
    <row r="84" ht="13.5" customHeight="1">
      <c r="A84" s="14"/>
      <c r="B84" s="18" t="str">
        <f>IF(A84="","",IFERROR(LOOKUP(A84,Lists!$U$2:$U$14,Lists!$T$2:$T$14),""))</f>
        <v/>
      </c>
      <c r="C84" s="19"/>
      <c r="D84" s="19"/>
      <c r="E84" s="18" t="str">
        <f t="shared" si="1"/>
        <v/>
      </c>
      <c r="F84" s="19"/>
      <c r="G84" s="23"/>
      <c r="H84" s="19"/>
      <c r="I84" s="19"/>
      <c r="J84" s="19"/>
      <c r="K84" s="19"/>
      <c r="L84" s="30" t="str">
        <f>IFERROR(IF(K84="","",VLOOKUP(K84,Lists!$K$2:$O$61,5,FALSE)),"")</f>
        <v/>
      </c>
      <c r="M84" s="18" t="str">
        <f>IFERROR(IF(K84="","",VLOOKUP(K84,Lists!$K$2:$O$61,2,FALSE)),"")</f>
        <v/>
      </c>
      <c r="N84" s="18" t="str">
        <f>IFERROR(IF(K84="","",VLOOKUP(K84,Lists!$K$2:$O$61,3,FALSE)),"")</f>
        <v/>
      </c>
      <c r="O84" s="19"/>
      <c r="P84" s="31"/>
      <c r="Q84" s="32"/>
      <c r="R84" s="27"/>
    </row>
    <row r="85" ht="13.5" customHeight="1">
      <c r="A85" s="14"/>
      <c r="B85" s="18" t="str">
        <f>IF(A85="","",IFERROR(LOOKUP(A85,Lists!$U$2:$U$14,Lists!$T$2:$T$14),""))</f>
        <v/>
      </c>
      <c r="C85" s="19"/>
      <c r="D85" s="19"/>
      <c r="E85" s="18" t="str">
        <f t="shared" si="1"/>
        <v/>
      </c>
      <c r="F85" s="19"/>
      <c r="G85" s="23"/>
      <c r="H85" s="19"/>
      <c r="I85" s="19"/>
      <c r="J85" s="19"/>
      <c r="K85" s="19"/>
      <c r="L85" s="30" t="str">
        <f>IFERROR(IF(K85="","",VLOOKUP(K85,Lists!$K$2:$O$61,5,FALSE)),"")</f>
        <v/>
      </c>
      <c r="M85" s="18" t="str">
        <f>IFERROR(IF(K85="","",VLOOKUP(K85,Lists!$K$2:$O$61,2,FALSE)),"")</f>
        <v/>
      </c>
      <c r="N85" s="18" t="str">
        <f>IFERROR(IF(K85="","",VLOOKUP(K85,Lists!$K$2:$O$61,3,FALSE)),"")</f>
        <v/>
      </c>
      <c r="O85" s="19"/>
      <c r="P85" s="31"/>
      <c r="Q85" s="32"/>
      <c r="R85" s="27"/>
    </row>
    <row r="86" ht="13.5" customHeight="1">
      <c r="A86" s="14"/>
      <c r="B86" s="18" t="str">
        <f>IF(A86="","",IFERROR(LOOKUP(A86,Lists!$U$2:$U$14,Lists!$T$2:$T$14),""))</f>
        <v/>
      </c>
      <c r="C86" s="19"/>
      <c r="D86" s="19"/>
      <c r="E86" s="18" t="str">
        <f t="shared" si="1"/>
        <v/>
      </c>
      <c r="F86" s="19"/>
      <c r="G86" s="23"/>
      <c r="H86" s="19"/>
      <c r="I86" s="19"/>
      <c r="J86" s="19"/>
      <c r="K86" s="19"/>
      <c r="L86" s="30" t="str">
        <f>IFERROR(IF(K86="","",VLOOKUP(K86,Lists!$K$2:$O$61,5,FALSE)),"")</f>
        <v/>
      </c>
      <c r="M86" s="18" t="str">
        <f>IFERROR(IF(K86="","",VLOOKUP(K86,Lists!$K$2:$O$61,2,FALSE)),"")</f>
        <v/>
      </c>
      <c r="N86" s="18" t="str">
        <f>IFERROR(IF(K86="","",VLOOKUP(K86,Lists!$K$2:$O$61,3,FALSE)),"")</f>
        <v/>
      </c>
      <c r="O86" s="19"/>
      <c r="P86" s="31"/>
      <c r="Q86" s="32"/>
      <c r="R86" s="27"/>
    </row>
    <row r="87" ht="13.5" customHeight="1">
      <c r="A87" s="14"/>
      <c r="B87" s="18" t="str">
        <f>IF(A87="","",IFERROR(LOOKUP(A87,Lists!$U$2:$U$14,Lists!$T$2:$T$14),""))</f>
        <v/>
      </c>
      <c r="C87" s="19"/>
      <c r="D87" s="19"/>
      <c r="E87" s="18" t="str">
        <f t="shared" si="1"/>
        <v/>
      </c>
      <c r="F87" s="19"/>
      <c r="G87" s="23"/>
      <c r="H87" s="19"/>
      <c r="I87" s="19"/>
      <c r="J87" s="19"/>
      <c r="K87" s="19"/>
      <c r="L87" s="30" t="str">
        <f>IFERROR(IF(K87="","",VLOOKUP(K87,Lists!$K$2:$O$61,5,FALSE)),"")</f>
        <v/>
      </c>
      <c r="M87" s="18" t="str">
        <f>IFERROR(IF(K87="","",VLOOKUP(K87,Lists!$K$2:$O$61,2,FALSE)),"")</f>
        <v/>
      </c>
      <c r="N87" s="18" t="str">
        <f>IFERROR(IF(K87="","",VLOOKUP(K87,Lists!$K$2:$O$61,3,FALSE)),"")</f>
        <v/>
      </c>
      <c r="O87" s="19"/>
      <c r="P87" s="31"/>
      <c r="Q87" s="32"/>
      <c r="R87" s="27"/>
    </row>
    <row r="88" ht="13.5" customHeight="1">
      <c r="A88" s="14"/>
      <c r="B88" s="18" t="str">
        <f>IF(A88="","",IFERROR(LOOKUP(A88,Lists!$U$2:$U$14,Lists!$T$2:$T$14),""))</f>
        <v/>
      </c>
      <c r="C88" s="19"/>
      <c r="D88" s="19"/>
      <c r="E88" s="18" t="str">
        <f t="shared" si="1"/>
        <v/>
      </c>
      <c r="F88" s="19"/>
      <c r="G88" s="23"/>
      <c r="H88" s="19"/>
      <c r="I88" s="19"/>
      <c r="J88" s="19"/>
      <c r="K88" s="19"/>
      <c r="L88" s="30" t="str">
        <f>IFERROR(IF(K88="","",VLOOKUP(K88,Lists!$K$2:$O$61,5,FALSE)),"")</f>
        <v/>
      </c>
      <c r="M88" s="18" t="str">
        <f>IFERROR(IF(K88="","",VLOOKUP(K88,Lists!$K$2:$O$61,2,FALSE)),"")</f>
        <v/>
      </c>
      <c r="N88" s="18" t="str">
        <f>IFERROR(IF(K88="","",VLOOKUP(K88,Lists!$K$2:$O$61,3,FALSE)),"")</f>
        <v/>
      </c>
      <c r="O88" s="19"/>
      <c r="P88" s="31"/>
      <c r="Q88" s="32"/>
      <c r="R88" s="27"/>
    </row>
    <row r="89" ht="13.5" customHeight="1">
      <c r="A89" s="14"/>
      <c r="B89" s="18" t="str">
        <f>IF(A89="","",IFERROR(LOOKUP(A89,Lists!$U$2:$U$14,Lists!$T$2:$T$14),""))</f>
        <v/>
      </c>
      <c r="C89" s="19"/>
      <c r="D89" s="19"/>
      <c r="E89" s="18" t="str">
        <f t="shared" si="1"/>
        <v/>
      </c>
      <c r="F89" s="19"/>
      <c r="G89" s="23"/>
      <c r="H89" s="19"/>
      <c r="I89" s="19"/>
      <c r="J89" s="19"/>
      <c r="K89" s="19"/>
      <c r="L89" s="30" t="str">
        <f>IFERROR(IF(K89="","",VLOOKUP(K89,Lists!$K$2:$O$61,5,FALSE)),"")</f>
        <v/>
      </c>
      <c r="M89" s="18" t="str">
        <f>IFERROR(IF(K89="","",VLOOKUP(K89,Lists!$K$2:$O$61,2,FALSE)),"")</f>
        <v/>
      </c>
      <c r="N89" s="18" t="str">
        <f>IFERROR(IF(K89="","",VLOOKUP(K89,Lists!$K$2:$O$61,3,FALSE)),"")</f>
        <v/>
      </c>
      <c r="O89" s="19"/>
      <c r="P89" s="31"/>
      <c r="Q89" s="32"/>
      <c r="R89" s="27"/>
    </row>
    <row r="90" ht="13.5" customHeight="1">
      <c r="A90" s="14"/>
      <c r="B90" s="18" t="str">
        <f>IF(A90="","",IFERROR(LOOKUP(A90,Lists!$U$2:$U$14,Lists!$T$2:$T$14),""))</f>
        <v/>
      </c>
      <c r="C90" s="19"/>
      <c r="D90" s="19"/>
      <c r="E90" s="18" t="str">
        <f t="shared" si="1"/>
        <v/>
      </c>
      <c r="F90" s="19"/>
      <c r="G90" s="23"/>
      <c r="H90" s="19"/>
      <c r="I90" s="19"/>
      <c r="J90" s="19"/>
      <c r="K90" s="19"/>
      <c r="L90" s="30" t="str">
        <f>IFERROR(IF(K90="","",VLOOKUP(K90,Lists!$K$2:$O$61,5,FALSE)),"")</f>
        <v/>
      </c>
      <c r="M90" s="18" t="str">
        <f>IFERROR(IF(K90="","",VLOOKUP(K90,Lists!$K$2:$O$61,2,FALSE)),"")</f>
        <v/>
      </c>
      <c r="N90" s="18" t="str">
        <f>IFERROR(IF(K90="","",VLOOKUP(K90,Lists!$K$2:$O$61,3,FALSE)),"")</f>
        <v/>
      </c>
      <c r="O90" s="19"/>
      <c r="P90" s="31"/>
      <c r="Q90" s="32"/>
      <c r="R90" s="27"/>
    </row>
    <row r="91" ht="13.5" customHeight="1">
      <c r="A91" s="14"/>
      <c r="B91" s="18" t="str">
        <f>IF(A91="","",IFERROR(LOOKUP(A91,Lists!$U$2:$U$14,Lists!$T$2:$T$14),""))</f>
        <v/>
      </c>
      <c r="C91" s="19"/>
      <c r="D91" s="19"/>
      <c r="E91" s="18" t="str">
        <f t="shared" si="1"/>
        <v/>
      </c>
      <c r="F91" s="19"/>
      <c r="G91" s="23"/>
      <c r="H91" s="19"/>
      <c r="I91" s="19"/>
      <c r="J91" s="19"/>
      <c r="K91" s="19"/>
      <c r="L91" s="30" t="str">
        <f>IFERROR(IF(K91="","",VLOOKUP(K91,Lists!$K$2:$O$61,5,FALSE)),"")</f>
        <v/>
      </c>
      <c r="M91" s="18" t="str">
        <f>IFERROR(IF(K91="","",VLOOKUP(K91,Lists!$K$2:$O$61,2,FALSE)),"")</f>
        <v/>
      </c>
      <c r="N91" s="18" t="str">
        <f>IFERROR(IF(K91="","",VLOOKUP(K91,Lists!$K$2:$O$61,3,FALSE)),"")</f>
        <v/>
      </c>
      <c r="O91" s="19"/>
      <c r="P91" s="31"/>
      <c r="Q91" s="32"/>
      <c r="R91" s="27"/>
    </row>
    <row r="92" ht="13.5" customHeight="1">
      <c r="A92" s="14"/>
      <c r="B92" s="18" t="str">
        <f>IF(A92="","",IFERROR(LOOKUP(A92,Lists!$U$2:$U$14,Lists!$T$2:$T$14),""))</f>
        <v/>
      </c>
      <c r="C92" s="19"/>
      <c r="D92" s="19"/>
      <c r="E92" s="18" t="str">
        <f t="shared" si="1"/>
        <v/>
      </c>
      <c r="F92" s="19"/>
      <c r="G92" s="23"/>
      <c r="H92" s="19"/>
      <c r="I92" s="19"/>
      <c r="J92" s="19"/>
      <c r="K92" s="19"/>
      <c r="L92" s="30" t="str">
        <f>IFERROR(IF(K92="","",VLOOKUP(K92,Lists!$K$2:$O$61,5,FALSE)),"")</f>
        <v/>
      </c>
      <c r="M92" s="18" t="str">
        <f>IFERROR(IF(K92="","",VLOOKUP(K92,Lists!$K$2:$O$61,2,FALSE)),"")</f>
        <v/>
      </c>
      <c r="N92" s="18" t="str">
        <f>IFERROR(IF(K92="","",VLOOKUP(K92,Lists!$K$2:$O$61,3,FALSE)),"")</f>
        <v/>
      </c>
      <c r="O92" s="19"/>
      <c r="P92" s="31"/>
      <c r="Q92" s="32"/>
      <c r="R92" s="27"/>
    </row>
    <row r="93" ht="13.5" customHeight="1">
      <c r="A93" s="14"/>
      <c r="B93" s="18" t="str">
        <f>IF(A93="","",IFERROR(LOOKUP(A93,Lists!$U$2:$U$14,Lists!$T$2:$T$14),""))</f>
        <v/>
      </c>
      <c r="C93" s="19"/>
      <c r="D93" s="19"/>
      <c r="E93" s="18" t="str">
        <f t="shared" si="1"/>
        <v/>
      </c>
      <c r="F93" s="19"/>
      <c r="G93" s="23"/>
      <c r="H93" s="19"/>
      <c r="I93" s="19"/>
      <c r="J93" s="19"/>
      <c r="K93" s="19"/>
      <c r="L93" s="30" t="str">
        <f>IFERROR(IF(K93="","",VLOOKUP(K93,Lists!$K$2:$O$61,5,FALSE)),"")</f>
        <v/>
      </c>
      <c r="M93" s="18" t="str">
        <f>IFERROR(IF(K93="","",VLOOKUP(K93,Lists!$K$2:$O$61,2,FALSE)),"")</f>
        <v/>
      </c>
      <c r="N93" s="18" t="str">
        <f>IFERROR(IF(K93="","",VLOOKUP(K93,Lists!$K$2:$O$61,3,FALSE)),"")</f>
        <v/>
      </c>
      <c r="O93" s="19"/>
      <c r="P93" s="31"/>
      <c r="Q93" s="32"/>
      <c r="R93" s="27"/>
    </row>
    <row r="94" ht="13.5" customHeight="1">
      <c r="A94" s="14"/>
      <c r="B94" s="18" t="str">
        <f>IF(A94="","",IFERROR(LOOKUP(A94,Lists!$U$2:$U$14,Lists!$T$2:$T$14),""))</f>
        <v/>
      </c>
      <c r="C94" s="19"/>
      <c r="D94" s="19"/>
      <c r="E94" s="18" t="str">
        <f t="shared" si="1"/>
        <v/>
      </c>
      <c r="F94" s="19"/>
      <c r="G94" s="23"/>
      <c r="H94" s="19"/>
      <c r="I94" s="19"/>
      <c r="J94" s="19"/>
      <c r="K94" s="19"/>
      <c r="L94" s="30" t="str">
        <f>IFERROR(IF(K94="","",VLOOKUP(K94,Lists!$K$2:$O$61,5,FALSE)),"")</f>
        <v/>
      </c>
      <c r="M94" s="18" t="str">
        <f>IFERROR(IF(K94="","",VLOOKUP(K94,Lists!$K$2:$O$61,2,FALSE)),"")</f>
        <v/>
      </c>
      <c r="N94" s="18" t="str">
        <f>IFERROR(IF(K94="","",VLOOKUP(K94,Lists!$K$2:$O$61,3,FALSE)),"")</f>
        <v/>
      </c>
      <c r="O94" s="19"/>
      <c r="P94" s="31"/>
      <c r="Q94" s="32"/>
      <c r="R94" s="27"/>
    </row>
    <row r="95" ht="13.5" customHeight="1">
      <c r="A95" s="14"/>
      <c r="B95" s="18" t="str">
        <f>IF(A95="","",IFERROR(LOOKUP(A95,Lists!$U$2:$U$14,Lists!$T$2:$T$14),""))</f>
        <v/>
      </c>
      <c r="C95" s="19"/>
      <c r="D95" s="19"/>
      <c r="E95" s="18" t="str">
        <f t="shared" si="1"/>
        <v/>
      </c>
      <c r="F95" s="19"/>
      <c r="G95" s="23"/>
      <c r="H95" s="19"/>
      <c r="I95" s="19"/>
      <c r="J95" s="19"/>
      <c r="K95" s="19"/>
      <c r="L95" s="30" t="str">
        <f>IFERROR(IF(K95="","",VLOOKUP(K95,Lists!$K$2:$O$61,5,FALSE)),"")</f>
        <v/>
      </c>
      <c r="M95" s="18" t="str">
        <f>IFERROR(IF(K95="","",VLOOKUP(K95,Lists!$K$2:$O$61,2,FALSE)),"")</f>
        <v/>
      </c>
      <c r="N95" s="18" t="str">
        <f>IFERROR(IF(K95="","",VLOOKUP(K95,Lists!$K$2:$O$61,3,FALSE)),"")</f>
        <v/>
      </c>
      <c r="O95" s="19"/>
      <c r="P95" s="31"/>
      <c r="Q95" s="32"/>
      <c r="R95" s="27"/>
    </row>
    <row r="96" ht="13.5" customHeight="1">
      <c r="A96" s="14"/>
      <c r="B96" s="18" t="str">
        <f>IF(A96="","",IFERROR(LOOKUP(A96,Lists!$U$2:$U$14,Lists!$T$2:$T$14),""))</f>
        <v/>
      </c>
      <c r="C96" s="19"/>
      <c r="D96" s="19"/>
      <c r="E96" s="18" t="str">
        <f t="shared" si="1"/>
        <v/>
      </c>
      <c r="F96" s="19"/>
      <c r="G96" s="23"/>
      <c r="H96" s="19"/>
      <c r="I96" s="19"/>
      <c r="J96" s="19"/>
      <c r="K96" s="19"/>
      <c r="L96" s="30" t="str">
        <f>IFERROR(IF(K96="","",VLOOKUP(K96,Lists!$K$2:$O$61,5,FALSE)),"")</f>
        <v/>
      </c>
      <c r="M96" s="18" t="str">
        <f>IFERROR(IF(K96="","",VLOOKUP(K96,Lists!$K$2:$O$61,2,FALSE)),"")</f>
        <v/>
      </c>
      <c r="N96" s="18" t="str">
        <f>IFERROR(IF(K96="","",VLOOKUP(K96,Lists!$K$2:$O$61,3,FALSE)),"")</f>
        <v/>
      </c>
      <c r="O96" s="19"/>
      <c r="P96" s="31"/>
      <c r="Q96" s="32"/>
      <c r="R96" s="27"/>
    </row>
    <row r="97" ht="13.5" customHeight="1">
      <c r="A97" s="14"/>
      <c r="B97" s="18" t="str">
        <f>IF(A97="","",IFERROR(LOOKUP(A97,Lists!$U$2:$U$14,Lists!$T$2:$T$14),""))</f>
        <v/>
      </c>
      <c r="C97" s="19"/>
      <c r="D97" s="19"/>
      <c r="E97" s="18" t="str">
        <f t="shared" si="1"/>
        <v/>
      </c>
      <c r="F97" s="19"/>
      <c r="G97" s="23"/>
      <c r="H97" s="19"/>
      <c r="I97" s="19"/>
      <c r="J97" s="19"/>
      <c r="K97" s="19"/>
      <c r="L97" s="30" t="str">
        <f>IFERROR(IF(K97="","",VLOOKUP(K97,Lists!$K$2:$O$61,5,FALSE)),"")</f>
        <v/>
      </c>
      <c r="M97" s="18" t="str">
        <f>IFERROR(IF(K97="","",VLOOKUP(K97,Lists!$K$2:$O$61,2,FALSE)),"")</f>
        <v/>
      </c>
      <c r="N97" s="18" t="str">
        <f>IFERROR(IF(K97="","",VLOOKUP(K97,Lists!$K$2:$O$61,3,FALSE)),"")</f>
        <v/>
      </c>
      <c r="O97" s="19"/>
      <c r="P97" s="31"/>
      <c r="Q97" s="32"/>
      <c r="R97" s="27"/>
    </row>
    <row r="98" ht="13.5" customHeight="1">
      <c r="A98" s="14"/>
      <c r="B98" s="18" t="str">
        <f>IF(A98="","",IFERROR(LOOKUP(A98,Lists!$U$2:$U$14,Lists!$T$2:$T$14),""))</f>
        <v/>
      </c>
      <c r="C98" s="19"/>
      <c r="D98" s="19"/>
      <c r="E98" s="18" t="str">
        <f t="shared" si="1"/>
        <v/>
      </c>
      <c r="F98" s="19"/>
      <c r="G98" s="23"/>
      <c r="H98" s="19"/>
      <c r="I98" s="19"/>
      <c r="J98" s="19"/>
      <c r="K98" s="19"/>
      <c r="L98" s="30" t="str">
        <f>IFERROR(IF(K98="","",VLOOKUP(K98,Lists!$K$2:$O$61,5,FALSE)),"")</f>
        <v/>
      </c>
      <c r="M98" s="18" t="str">
        <f>IFERROR(IF(K98="","",VLOOKUP(K98,Lists!$K$2:$O$61,2,FALSE)),"")</f>
        <v/>
      </c>
      <c r="N98" s="18" t="str">
        <f>IFERROR(IF(K98="","",VLOOKUP(K98,Lists!$K$2:$O$61,3,FALSE)),"")</f>
        <v/>
      </c>
      <c r="O98" s="19"/>
      <c r="P98" s="31"/>
      <c r="Q98" s="32"/>
      <c r="R98" s="27"/>
    </row>
    <row r="99" ht="13.5" customHeight="1">
      <c r="A99" s="14"/>
      <c r="B99" s="18" t="str">
        <f>IF(A99="","",IFERROR(LOOKUP(A99,Lists!$U$2:$U$14,Lists!$T$2:$T$14),""))</f>
        <v/>
      </c>
      <c r="C99" s="19"/>
      <c r="D99" s="19"/>
      <c r="E99" s="18" t="str">
        <f t="shared" si="1"/>
        <v/>
      </c>
      <c r="F99" s="19"/>
      <c r="G99" s="23"/>
      <c r="H99" s="19"/>
      <c r="I99" s="19"/>
      <c r="J99" s="19"/>
      <c r="K99" s="19"/>
      <c r="L99" s="30" t="str">
        <f>IFERROR(IF(K99="","",VLOOKUP(K99,Lists!$K$2:$O$61,5,FALSE)),"")</f>
        <v/>
      </c>
      <c r="M99" s="18" t="str">
        <f>IFERROR(IF(K99="","",VLOOKUP(K99,Lists!$K$2:$O$61,2,FALSE)),"")</f>
        <v/>
      </c>
      <c r="N99" s="18" t="str">
        <f>IFERROR(IF(K99="","",VLOOKUP(K99,Lists!$K$2:$O$61,3,FALSE)),"")</f>
        <v/>
      </c>
      <c r="O99" s="19"/>
      <c r="P99" s="31"/>
      <c r="Q99" s="32"/>
      <c r="R99" s="27"/>
    </row>
    <row r="100" ht="13.5" customHeight="1">
      <c r="A100" s="14"/>
      <c r="B100" s="18" t="str">
        <f>IF(A100="","",IFERROR(LOOKUP(A100,Lists!$U$2:$U$14,Lists!$T$2:$T$14),""))</f>
        <v/>
      </c>
      <c r="C100" s="19"/>
      <c r="D100" s="19"/>
      <c r="E100" s="18" t="str">
        <f t="shared" si="1"/>
        <v/>
      </c>
      <c r="F100" s="19"/>
      <c r="G100" s="23"/>
      <c r="H100" s="19"/>
      <c r="I100" s="19"/>
      <c r="J100" s="19"/>
      <c r="K100" s="19"/>
      <c r="L100" s="30" t="str">
        <f>IFERROR(IF(K100="","",VLOOKUP(K100,Lists!$K$2:$O$61,5,FALSE)),"")</f>
        <v/>
      </c>
      <c r="M100" s="18" t="str">
        <f>IFERROR(IF(K100="","",VLOOKUP(K100,Lists!$K$2:$O$61,2,FALSE)),"")</f>
        <v/>
      </c>
      <c r="N100" s="18" t="str">
        <f>IFERROR(IF(K100="","",VLOOKUP(K100,Lists!$K$2:$O$61,3,FALSE)),"")</f>
        <v/>
      </c>
      <c r="O100" s="19"/>
      <c r="P100" s="31"/>
      <c r="Q100" s="32"/>
      <c r="R100" s="27"/>
    </row>
    <row r="101" ht="13.5" customHeight="1">
      <c r="A101" s="14"/>
      <c r="B101" s="18" t="str">
        <f>IF(A101="","",IFERROR(LOOKUP(A101,Lists!$U$2:$U$14,Lists!$T$2:$T$14),""))</f>
        <v/>
      </c>
      <c r="C101" s="19"/>
      <c r="D101" s="19"/>
      <c r="E101" s="18" t="str">
        <f t="shared" si="1"/>
        <v/>
      </c>
      <c r="F101" s="19"/>
      <c r="G101" s="23"/>
      <c r="H101" s="19"/>
      <c r="I101" s="19"/>
      <c r="J101" s="19"/>
      <c r="K101" s="19"/>
      <c r="L101" s="30" t="str">
        <f>IFERROR(IF(K101="","",VLOOKUP(K101,Lists!$K$2:$O$61,5,FALSE)),"")</f>
        <v/>
      </c>
      <c r="M101" s="18" t="str">
        <f>IFERROR(IF(K101="","",VLOOKUP(K101,Lists!$K$2:$O$61,2,FALSE)),"")</f>
        <v/>
      </c>
      <c r="N101" s="18" t="str">
        <f>IFERROR(IF(K101="","",VLOOKUP(K101,Lists!$K$2:$O$61,3,FALSE)),"")</f>
        <v/>
      </c>
      <c r="O101" s="19"/>
      <c r="P101" s="31"/>
      <c r="Q101" s="32"/>
      <c r="R101" s="27"/>
    </row>
    <row r="102" ht="13.5" customHeight="1">
      <c r="A102" s="14"/>
      <c r="B102" s="18" t="str">
        <f>IF(A102="","",IFERROR(LOOKUP(A102,Lists!$U$2:$U$14,Lists!$T$2:$T$14),""))</f>
        <v/>
      </c>
      <c r="C102" s="19"/>
      <c r="D102" s="19"/>
      <c r="E102" s="18" t="str">
        <f t="shared" si="1"/>
        <v/>
      </c>
      <c r="F102" s="19"/>
      <c r="G102" s="23"/>
      <c r="H102" s="19"/>
      <c r="I102" s="19"/>
      <c r="J102" s="19"/>
      <c r="K102" s="19"/>
      <c r="L102" s="30" t="str">
        <f>IFERROR(IF(K102="","",VLOOKUP(K102,Lists!$K$2:$O$61,5,FALSE)),"")</f>
        <v/>
      </c>
      <c r="M102" s="18" t="str">
        <f>IFERROR(IF(K102="","",VLOOKUP(K102,Lists!$K$2:$O$61,2,FALSE)),"")</f>
        <v/>
      </c>
      <c r="N102" s="18" t="str">
        <f>IFERROR(IF(K102="","",VLOOKUP(K102,Lists!$K$2:$O$61,3,FALSE)),"")</f>
        <v/>
      </c>
      <c r="O102" s="19"/>
      <c r="P102" s="31"/>
      <c r="Q102" s="32"/>
      <c r="R102" s="27"/>
    </row>
    <row r="103" ht="13.5" customHeight="1">
      <c r="A103" s="14"/>
      <c r="B103" s="18" t="str">
        <f>IF(A103="","",IFERROR(LOOKUP(A103,Lists!$U$2:$U$14,Lists!$T$2:$T$14),""))</f>
        <v/>
      </c>
      <c r="C103" s="19"/>
      <c r="D103" s="19"/>
      <c r="E103" s="18" t="str">
        <f t="shared" si="1"/>
        <v/>
      </c>
      <c r="F103" s="19"/>
      <c r="G103" s="23"/>
      <c r="H103" s="19"/>
      <c r="I103" s="19"/>
      <c r="J103" s="19"/>
      <c r="K103" s="19"/>
      <c r="L103" s="30" t="str">
        <f>IFERROR(IF(K103="","",VLOOKUP(K103,Lists!$K$2:$O$61,5,FALSE)),"")</f>
        <v/>
      </c>
      <c r="M103" s="18" t="str">
        <f>IFERROR(IF(K103="","",VLOOKUP(K103,Lists!$K$2:$O$61,2,FALSE)),"")</f>
        <v/>
      </c>
      <c r="N103" s="18" t="str">
        <f>IFERROR(IF(K103="","",VLOOKUP(K103,Lists!$K$2:$O$61,3,FALSE)),"")</f>
        <v/>
      </c>
      <c r="O103" s="19"/>
      <c r="P103" s="31"/>
      <c r="Q103" s="32"/>
      <c r="R103" s="27"/>
    </row>
    <row r="104" ht="13.5" customHeight="1">
      <c r="A104" s="14"/>
      <c r="B104" s="18" t="str">
        <f>IF(A104="","",IFERROR(LOOKUP(A104,Lists!$U$2:$U$14,Lists!$T$2:$T$14),""))</f>
        <v/>
      </c>
      <c r="C104" s="19"/>
      <c r="D104" s="19"/>
      <c r="E104" s="18" t="str">
        <f t="shared" si="1"/>
        <v/>
      </c>
      <c r="F104" s="19"/>
      <c r="G104" s="23"/>
      <c r="H104" s="19"/>
      <c r="I104" s="19"/>
      <c r="J104" s="19"/>
      <c r="K104" s="19"/>
      <c r="L104" s="30" t="str">
        <f>IFERROR(IF(K104="","",VLOOKUP(K104,Lists!$K$2:$O$61,5,FALSE)),"")</f>
        <v/>
      </c>
      <c r="M104" s="18" t="str">
        <f>IFERROR(IF(K104="","",VLOOKUP(K104,Lists!$K$2:$O$61,2,FALSE)),"")</f>
        <v/>
      </c>
      <c r="N104" s="18" t="str">
        <f>IFERROR(IF(K104="","",VLOOKUP(K104,Lists!$K$2:$O$61,3,FALSE)),"")</f>
        <v/>
      </c>
      <c r="O104" s="19"/>
      <c r="P104" s="31"/>
      <c r="Q104" s="32"/>
      <c r="R104" s="27"/>
    </row>
    <row r="105" ht="13.5" customHeight="1">
      <c r="A105" s="14"/>
      <c r="B105" s="18" t="str">
        <f>IF(A105="","",IFERROR(LOOKUP(A105,Lists!$U$2:$U$14,Lists!$T$2:$T$14),""))</f>
        <v/>
      </c>
      <c r="C105" s="19"/>
      <c r="D105" s="19"/>
      <c r="E105" s="18" t="str">
        <f t="shared" si="1"/>
        <v/>
      </c>
      <c r="F105" s="19"/>
      <c r="G105" s="23"/>
      <c r="H105" s="19"/>
      <c r="I105" s="19"/>
      <c r="J105" s="19"/>
      <c r="K105" s="19"/>
      <c r="L105" s="30" t="str">
        <f>IFERROR(IF(K105="","",VLOOKUP(K105,Lists!$K$2:$O$61,5,FALSE)),"")</f>
        <v/>
      </c>
      <c r="M105" s="18" t="str">
        <f>IFERROR(IF(K105="","",VLOOKUP(K105,Lists!$K$2:$O$61,2,FALSE)),"")</f>
        <v/>
      </c>
      <c r="N105" s="18" t="str">
        <f>IFERROR(IF(K105="","",VLOOKUP(K105,Lists!$K$2:$O$61,3,FALSE)),"")</f>
        <v/>
      </c>
      <c r="O105" s="19"/>
      <c r="P105" s="31"/>
      <c r="Q105" s="32"/>
      <c r="R105" s="27"/>
    </row>
    <row r="106" ht="13.5" customHeight="1">
      <c r="A106" s="14"/>
      <c r="B106" s="18" t="str">
        <f>IF(A106="","",IFERROR(LOOKUP(A106,Lists!$U$2:$U$14,Lists!$T$2:$T$14),""))</f>
        <v/>
      </c>
      <c r="C106" s="19"/>
      <c r="D106" s="19"/>
      <c r="E106" s="18" t="str">
        <f t="shared" si="1"/>
        <v/>
      </c>
      <c r="F106" s="19"/>
      <c r="G106" s="23"/>
      <c r="H106" s="19"/>
      <c r="I106" s="19"/>
      <c r="J106" s="19"/>
      <c r="K106" s="19"/>
      <c r="L106" s="30" t="str">
        <f>IFERROR(IF(K106="","",VLOOKUP(K106,Lists!$K$2:$O$61,5,FALSE)),"")</f>
        <v/>
      </c>
      <c r="M106" s="18" t="str">
        <f>IFERROR(IF(K106="","",VLOOKUP(K106,Lists!$K$2:$O$61,2,FALSE)),"")</f>
        <v/>
      </c>
      <c r="N106" s="18" t="str">
        <f>IFERROR(IF(K106="","",VLOOKUP(K106,Lists!$K$2:$O$61,3,FALSE)),"")</f>
        <v/>
      </c>
      <c r="O106" s="19"/>
      <c r="P106" s="31"/>
      <c r="Q106" s="32"/>
      <c r="R106" s="27"/>
    </row>
    <row r="107" ht="13.5" customHeight="1">
      <c r="A107" s="14"/>
      <c r="B107" s="18" t="str">
        <f>IF(A107="","",IFERROR(LOOKUP(A107,Lists!$U$2:$U$14,Lists!$T$2:$T$14),""))</f>
        <v/>
      </c>
      <c r="C107" s="19"/>
      <c r="D107" s="19"/>
      <c r="E107" s="18" t="str">
        <f t="shared" si="1"/>
        <v/>
      </c>
      <c r="F107" s="19"/>
      <c r="G107" s="23"/>
      <c r="H107" s="19"/>
      <c r="I107" s="19"/>
      <c r="J107" s="19"/>
      <c r="K107" s="19"/>
      <c r="L107" s="30" t="str">
        <f>IFERROR(IF(K107="","",VLOOKUP(K107,Lists!$K$2:$O$61,5,FALSE)),"")</f>
        <v/>
      </c>
      <c r="M107" s="18" t="str">
        <f>IFERROR(IF(K107="","",VLOOKUP(K107,Lists!$K$2:$O$61,2,FALSE)),"")</f>
        <v/>
      </c>
      <c r="N107" s="18" t="str">
        <f>IFERROR(IF(K107="","",VLOOKUP(K107,Lists!$K$2:$O$61,3,FALSE)),"")</f>
        <v/>
      </c>
      <c r="O107" s="19"/>
      <c r="P107" s="31"/>
      <c r="Q107" s="32"/>
      <c r="R107" s="27"/>
    </row>
    <row r="108" ht="13.5" customHeight="1">
      <c r="A108" s="14"/>
      <c r="B108" s="18" t="str">
        <f>IF(A108="","",IFERROR(LOOKUP(A108,Lists!$U$2:$U$14,Lists!$T$2:$T$14),""))</f>
        <v/>
      </c>
      <c r="C108" s="19"/>
      <c r="D108" s="19"/>
      <c r="E108" s="18" t="str">
        <f t="shared" si="1"/>
        <v/>
      </c>
      <c r="F108" s="19"/>
      <c r="G108" s="23"/>
      <c r="H108" s="19"/>
      <c r="I108" s="19"/>
      <c r="J108" s="19"/>
      <c r="K108" s="19"/>
      <c r="L108" s="30" t="str">
        <f>IFERROR(IF(K108="","",VLOOKUP(K108,Lists!$K$2:$O$61,5,FALSE)),"")</f>
        <v/>
      </c>
      <c r="M108" s="18" t="str">
        <f>IFERROR(IF(K108="","",VLOOKUP(K108,Lists!$K$2:$O$61,2,FALSE)),"")</f>
        <v/>
      </c>
      <c r="N108" s="18" t="str">
        <f>IFERROR(IF(K108="","",VLOOKUP(K108,Lists!$K$2:$O$61,3,FALSE)),"")</f>
        <v/>
      </c>
      <c r="O108" s="19"/>
      <c r="P108" s="31"/>
      <c r="Q108" s="32"/>
      <c r="R108" s="27"/>
    </row>
    <row r="109" ht="13.5" customHeight="1">
      <c r="A109" s="14"/>
      <c r="B109" s="18" t="str">
        <f>IF(A109="","",IFERROR(LOOKUP(A109,Lists!$U$2:$U$14,Lists!$T$2:$T$14),""))</f>
        <v/>
      </c>
      <c r="C109" s="19"/>
      <c r="D109" s="19"/>
      <c r="E109" s="18" t="str">
        <f t="shared" si="1"/>
        <v/>
      </c>
      <c r="F109" s="19"/>
      <c r="G109" s="23"/>
      <c r="H109" s="19"/>
      <c r="I109" s="19"/>
      <c r="J109" s="19"/>
      <c r="K109" s="19"/>
      <c r="L109" s="30" t="str">
        <f>IFERROR(IF(K109="","",VLOOKUP(K109,Lists!$K$2:$O$61,5,FALSE)),"")</f>
        <v/>
      </c>
      <c r="M109" s="18" t="str">
        <f>IFERROR(IF(K109="","",VLOOKUP(K109,Lists!$K$2:$O$61,2,FALSE)),"")</f>
        <v/>
      </c>
      <c r="N109" s="18" t="str">
        <f>IFERROR(IF(K109="","",VLOOKUP(K109,Lists!$K$2:$O$61,3,FALSE)),"")</f>
        <v/>
      </c>
      <c r="O109" s="19"/>
      <c r="P109" s="31"/>
      <c r="Q109" s="32"/>
      <c r="R109" s="27"/>
    </row>
    <row r="110" ht="13.5" customHeight="1">
      <c r="A110" s="14"/>
      <c r="B110" s="18" t="str">
        <f>IF(A110="","",IFERROR(LOOKUP(A110,Lists!$U$2:$U$14,Lists!$T$2:$T$14),""))</f>
        <v/>
      </c>
      <c r="C110" s="19"/>
      <c r="D110" s="19"/>
      <c r="E110" s="18" t="str">
        <f t="shared" si="1"/>
        <v/>
      </c>
      <c r="F110" s="19"/>
      <c r="G110" s="23"/>
      <c r="H110" s="19"/>
      <c r="I110" s="19"/>
      <c r="J110" s="19"/>
      <c r="K110" s="19"/>
      <c r="L110" s="30" t="str">
        <f>IFERROR(IF(K110="","",VLOOKUP(K110,Lists!$K$2:$O$61,5,FALSE)),"")</f>
        <v/>
      </c>
      <c r="M110" s="18" t="str">
        <f>IFERROR(IF(K110="","",VLOOKUP(K110,Lists!$K$2:$O$61,2,FALSE)),"")</f>
        <v/>
      </c>
      <c r="N110" s="18" t="str">
        <f>IFERROR(IF(K110="","",VLOOKUP(K110,Lists!$K$2:$O$61,3,FALSE)),"")</f>
        <v/>
      </c>
      <c r="O110" s="19"/>
      <c r="P110" s="31"/>
      <c r="Q110" s="32"/>
      <c r="R110" s="27"/>
    </row>
    <row r="111" ht="13.5" customHeight="1">
      <c r="A111" s="14"/>
      <c r="B111" s="18" t="str">
        <f>IF(A111="","",IFERROR(LOOKUP(A111,Lists!$U$2:$U$14,Lists!$T$2:$T$14),""))</f>
        <v/>
      </c>
      <c r="C111" s="19"/>
      <c r="D111" s="19"/>
      <c r="E111" s="18" t="str">
        <f t="shared" si="1"/>
        <v/>
      </c>
      <c r="F111" s="19"/>
      <c r="G111" s="23"/>
      <c r="H111" s="19"/>
      <c r="I111" s="19"/>
      <c r="J111" s="19"/>
      <c r="K111" s="19"/>
      <c r="L111" s="30" t="str">
        <f>IFERROR(IF(K111="","",VLOOKUP(K111,Lists!$K$2:$O$61,5,FALSE)),"")</f>
        <v/>
      </c>
      <c r="M111" s="18" t="str">
        <f>IFERROR(IF(K111="","",VLOOKUP(K111,Lists!$K$2:$O$61,2,FALSE)),"")</f>
        <v/>
      </c>
      <c r="N111" s="18" t="str">
        <f>IFERROR(IF(K111="","",VLOOKUP(K111,Lists!$K$2:$O$61,3,FALSE)),"")</f>
        <v/>
      </c>
      <c r="O111" s="19"/>
      <c r="P111" s="31"/>
      <c r="Q111" s="32"/>
      <c r="R111" s="27"/>
    </row>
    <row r="112" ht="13.5" customHeight="1">
      <c r="A112" s="14"/>
      <c r="B112" s="18" t="str">
        <f>IF(A112="","",IFERROR(LOOKUP(A112,Lists!$U$2:$U$14,Lists!$T$2:$T$14),""))</f>
        <v/>
      </c>
      <c r="C112" s="19"/>
      <c r="D112" s="19"/>
      <c r="E112" s="18" t="str">
        <f t="shared" si="1"/>
        <v/>
      </c>
      <c r="F112" s="19"/>
      <c r="G112" s="23"/>
      <c r="H112" s="19"/>
      <c r="I112" s="19"/>
      <c r="J112" s="19"/>
      <c r="K112" s="19"/>
      <c r="L112" s="30" t="str">
        <f>IFERROR(IF(K112="","",VLOOKUP(K112,Lists!$K$2:$O$61,5,FALSE)),"")</f>
        <v/>
      </c>
      <c r="M112" s="18" t="str">
        <f>IFERROR(IF(K112="","",VLOOKUP(K112,Lists!$K$2:$O$61,2,FALSE)),"")</f>
        <v/>
      </c>
      <c r="N112" s="18" t="str">
        <f>IFERROR(IF(K112="","",VLOOKUP(K112,Lists!$K$2:$O$61,3,FALSE)),"")</f>
        <v/>
      </c>
      <c r="O112" s="19"/>
      <c r="P112" s="31"/>
      <c r="Q112" s="32"/>
      <c r="R112" s="27"/>
    </row>
    <row r="113" ht="13.5" customHeight="1">
      <c r="A113" s="14"/>
      <c r="B113" s="18" t="str">
        <f>IF(A113="","",IFERROR(LOOKUP(A113,Lists!$U$2:$U$14,Lists!$T$2:$T$14),""))</f>
        <v/>
      </c>
      <c r="C113" s="19"/>
      <c r="D113" s="19"/>
      <c r="E113" s="18" t="str">
        <f t="shared" si="1"/>
        <v/>
      </c>
      <c r="F113" s="19"/>
      <c r="G113" s="23"/>
      <c r="H113" s="19"/>
      <c r="I113" s="19"/>
      <c r="J113" s="19"/>
      <c r="K113" s="19"/>
      <c r="L113" s="30" t="str">
        <f>IFERROR(IF(K113="","",VLOOKUP(K113,Lists!$K$2:$O$61,5,FALSE)),"")</f>
        <v/>
      </c>
      <c r="M113" s="18" t="str">
        <f>IFERROR(IF(K113="","",VLOOKUP(K113,Lists!$K$2:$O$61,2,FALSE)),"")</f>
        <v/>
      </c>
      <c r="N113" s="18" t="str">
        <f>IFERROR(IF(K113="","",VLOOKUP(K113,Lists!$K$2:$O$61,3,FALSE)),"")</f>
        <v/>
      </c>
      <c r="O113" s="19"/>
      <c r="P113" s="31"/>
      <c r="Q113" s="32"/>
      <c r="R113" s="27"/>
    </row>
    <row r="114" ht="13.5" customHeight="1">
      <c r="A114" s="14"/>
      <c r="B114" s="18" t="str">
        <f>IF(A114="","",IFERROR(LOOKUP(A114,Lists!$U$2:$U$14,Lists!$T$2:$T$14),""))</f>
        <v/>
      </c>
      <c r="C114" s="19"/>
      <c r="D114" s="19"/>
      <c r="E114" s="18" t="str">
        <f t="shared" si="1"/>
        <v/>
      </c>
      <c r="F114" s="19"/>
      <c r="G114" s="23"/>
      <c r="H114" s="19"/>
      <c r="I114" s="19"/>
      <c r="J114" s="19"/>
      <c r="K114" s="19"/>
      <c r="L114" s="30" t="str">
        <f>IFERROR(IF(K114="","",VLOOKUP(K114,Lists!$K$2:$O$61,5,FALSE)),"")</f>
        <v/>
      </c>
      <c r="M114" s="18" t="str">
        <f>IFERROR(IF(K114="","",VLOOKUP(K114,Lists!$K$2:$O$61,2,FALSE)),"")</f>
        <v/>
      </c>
      <c r="N114" s="18" t="str">
        <f>IFERROR(IF(K114="","",VLOOKUP(K114,Lists!$K$2:$O$61,3,FALSE)),"")</f>
        <v/>
      </c>
      <c r="O114" s="19"/>
      <c r="P114" s="31"/>
      <c r="Q114" s="32"/>
      <c r="R114" s="27"/>
    </row>
    <row r="115" ht="13.5" customHeight="1">
      <c r="A115" s="14"/>
      <c r="B115" s="18" t="str">
        <f>IF(A115="","",IFERROR(LOOKUP(A115,Lists!$U$2:$U$14,Lists!$T$2:$T$14),""))</f>
        <v/>
      </c>
      <c r="C115" s="19"/>
      <c r="D115" s="19"/>
      <c r="E115" s="18" t="str">
        <f t="shared" si="1"/>
        <v/>
      </c>
      <c r="F115" s="19"/>
      <c r="G115" s="23"/>
      <c r="H115" s="19"/>
      <c r="I115" s="19"/>
      <c r="J115" s="19"/>
      <c r="K115" s="19"/>
      <c r="L115" s="30" t="str">
        <f>IFERROR(IF(K115="","",VLOOKUP(K115,Lists!$K$2:$O$61,5,FALSE)),"")</f>
        <v/>
      </c>
      <c r="M115" s="18" t="str">
        <f>IFERROR(IF(K115="","",VLOOKUP(K115,Lists!$K$2:$O$61,2,FALSE)),"")</f>
        <v/>
      </c>
      <c r="N115" s="18" t="str">
        <f>IFERROR(IF(K115="","",VLOOKUP(K115,Lists!$K$2:$O$61,3,FALSE)),"")</f>
        <v/>
      </c>
      <c r="O115" s="19"/>
      <c r="P115" s="31"/>
      <c r="Q115" s="32"/>
      <c r="R115" s="27"/>
    </row>
    <row r="116" ht="13.5" customHeight="1">
      <c r="A116" s="14"/>
      <c r="B116" s="18" t="str">
        <f>IF(A116="","",IFERROR(LOOKUP(A116,Lists!$U$2:$U$14,Lists!$T$2:$T$14),""))</f>
        <v/>
      </c>
      <c r="C116" s="19"/>
      <c r="D116" s="19"/>
      <c r="E116" s="18" t="str">
        <f t="shared" si="1"/>
        <v/>
      </c>
      <c r="F116" s="19"/>
      <c r="G116" s="23"/>
      <c r="H116" s="19"/>
      <c r="I116" s="19"/>
      <c r="J116" s="19"/>
      <c r="K116" s="19"/>
      <c r="L116" s="30" t="str">
        <f>IFERROR(IF(K116="","",VLOOKUP(K116,Lists!$K$2:$O$61,5,FALSE)),"")</f>
        <v/>
      </c>
      <c r="M116" s="18" t="str">
        <f>IFERROR(IF(K116="","",VLOOKUP(K116,Lists!$K$2:$O$61,2,FALSE)),"")</f>
        <v/>
      </c>
      <c r="N116" s="18" t="str">
        <f>IFERROR(IF(K116="","",VLOOKUP(K116,Lists!$K$2:$O$61,3,FALSE)),"")</f>
        <v/>
      </c>
      <c r="O116" s="19"/>
      <c r="P116" s="31"/>
      <c r="Q116" s="32"/>
      <c r="R116" s="27"/>
    </row>
    <row r="117" ht="13.5" customHeight="1">
      <c r="A117" s="14"/>
      <c r="B117" s="18" t="str">
        <f>IF(A117="","",IFERROR(LOOKUP(A117,Lists!$U$2:$U$14,Lists!$T$2:$T$14),""))</f>
        <v/>
      </c>
      <c r="C117" s="19"/>
      <c r="D117" s="19"/>
      <c r="E117" s="18" t="str">
        <f t="shared" si="1"/>
        <v/>
      </c>
      <c r="F117" s="19"/>
      <c r="G117" s="23"/>
      <c r="H117" s="19"/>
      <c r="I117" s="19"/>
      <c r="J117" s="19"/>
      <c r="K117" s="19"/>
      <c r="L117" s="30" t="str">
        <f>IFERROR(IF(K117="","",VLOOKUP(K117,Lists!$K$2:$O$61,5,FALSE)),"")</f>
        <v/>
      </c>
      <c r="M117" s="18" t="str">
        <f>IFERROR(IF(K117="","",VLOOKUP(K117,Lists!$K$2:$O$61,2,FALSE)),"")</f>
        <v/>
      </c>
      <c r="N117" s="18" t="str">
        <f>IFERROR(IF(K117="","",VLOOKUP(K117,Lists!$K$2:$O$61,3,FALSE)),"")</f>
        <v/>
      </c>
      <c r="O117" s="19"/>
      <c r="P117" s="31"/>
      <c r="Q117" s="32"/>
      <c r="R117" s="27"/>
    </row>
    <row r="118" ht="13.5" customHeight="1">
      <c r="A118" s="14"/>
      <c r="B118" s="18" t="str">
        <f>IF(A118="","",IFERROR(LOOKUP(A118,Lists!$U$2:$U$14,Lists!$T$2:$T$14),""))</f>
        <v/>
      </c>
      <c r="C118" s="19"/>
      <c r="D118" s="19"/>
      <c r="E118" s="18" t="str">
        <f t="shared" si="1"/>
        <v/>
      </c>
      <c r="F118" s="19"/>
      <c r="G118" s="23"/>
      <c r="H118" s="19"/>
      <c r="I118" s="19"/>
      <c r="J118" s="19"/>
      <c r="K118" s="19"/>
      <c r="L118" s="30" t="str">
        <f>IFERROR(IF(K118="","",VLOOKUP(K118,Lists!$K$2:$O$61,5,FALSE)),"")</f>
        <v/>
      </c>
      <c r="M118" s="18" t="str">
        <f>IFERROR(IF(K118="","",VLOOKUP(K118,Lists!$K$2:$O$61,2,FALSE)),"")</f>
        <v/>
      </c>
      <c r="N118" s="18" t="str">
        <f>IFERROR(IF(K118="","",VLOOKUP(K118,Lists!$K$2:$O$61,3,FALSE)),"")</f>
        <v/>
      </c>
      <c r="O118" s="19"/>
      <c r="P118" s="31"/>
      <c r="Q118" s="32"/>
      <c r="R118" s="27"/>
    </row>
    <row r="119" ht="13.5" customHeight="1">
      <c r="A119" s="14"/>
      <c r="B119" s="18" t="str">
        <f>IF(A119="","",IFERROR(LOOKUP(A119,Lists!$U$2:$U$14,Lists!$T$2:$T$14),""))</f>
        <v/>
      </c>
      <c r="C119" s="19"/>
      <c r="D119" s="19"/>
      <c r="E119" s="18" t="str">
        <f t="shared" si="1"/>
        <v/>
      </c>
      <c r="F119" s="19"/>
      <c r="G119" s="23"/>
      <c r="H119" s="19"/>
      <c r="I119" s="19"/>
      <c r="J119" s="19"/>
      <c r="K119" s="19"/>
      <c r="L119" s="30" t="str">
        <f>IFERROR(IF(K119="","",VLOOKUP(K119,Lists!$K$2:$O$61,5,FALSE)),"")</f>
        <v/>
      </c>
      <c r="M119" s="18" t="str">
        <f>IFERROR(IF(K119="","",VLOOKUP(K119,Lists!$K$2:$O$61,2,FALSE)),"")</f>
        <v/>
      </c>
      <c r="N119" s="18" t="str">
        <f>IFERROR(IF(K119="","",VLOOKUP(K119,Lists!$K$2:$O$61,3,FALSE)),"")</f>
        <v/>
      </c>
      <c r="O119" s="19"/>
      <c r="P119" s="31"/>
      <c r="Q119" s="32"/>
      <c r="R119" s="27"/>
    </row>
    <row r="120" ht="13.5" customHeight="1">
      <c r="A120" s="14"/>
      <c r="B120" s="18" t="str">
        <f>IF(A120="","",IFERROR(LOOKUP(A120,Lists!$U$2:$U$14,Lists!$T$2:$T$14),""))</f>
        <v/>
      </c>
      <c r="C120" s="19"/>
      <c r="D120" s="19"/>
      <c r="E120" s="18" t="str">
        <f t="shared" si="1"/>
        <v/>
      </c>
      <c r="F120" s="19"/>
      <c r="G120" s="23"/>
      <c r="H120" s="19"/>
      <c r="I120" s="19"/>
      <c r="J120" s="19"/>
      <c r="K120" s="19"/>
      <c r="L120" s="30" t="str">
        <f>IFERROR(IF(K120="","",VLOOKUP(K120,Lists!$K$2:$O$61,5,FALSE)),"")</f>
        <v/>
      </c>
      <c r="M120" s="18" t="str">
        <f>IFERROR(IF(K120="","",VLOOKUP(K120,Lists!$K$2:$O$61,2,FALSE)),"")</f>
        <v/>
      </c>
      <c r="N120" s="18" t="str">
        <f>IFERROR(IF(K120="","",VLOOKUP(K120,Lists!$K$2:$O$61,3,FALSE)),"")</f>
        <v/>
      </c>
      <c r="O120" s="19"/>
      <c r="P120" s="31"/>
      <c r="Q120" s="32"/>
      <c r="R120" s="27"/>
    </row>
    <row r="121" ht="13.5" customHeight="1">
      <c r="A121" s="14"/>
      <c r="B121" s="18" t="str">
        <f>IF(A121="","",IFERROR(LOOKUP(A121,Lists!$U$2:$U$14,Lists!$T$2:$T$14),""))</f>
        <v/>
      </c>
      <c r="C121" s="19"/>
      <c r="D121" s="19"/>
      <c r="E121" s="18" t="str">
        <f t="shared" si="1"/>
        <v/>
      </c>
      <c r="F121" s="19"/>
      <c r="G121" s="23"/>
      <c r="H121" s="19"/>
      <c r="I121" s="19"/>
      <c r="J121" s="19"/>
      <c r="K121" s="19"/>
      <c r="L121" s="30" t="str">
        <f>IFERROR(IF(K121="","",VLOOKUP(K121,Lists!$K$2:$O$61,5,FALSE)),"")</f>
        <v/>
      </c>
      <c r="M121" s="18" t="str">
        <f>IFERROR(IF(K121="","",VLOOKUP(K121,Lists!$K$2:$O$61,2,FALSE)),"")</f>
        <v/>
      </c>
      <c r="N121" s="18" t="str">
        <f>IFERROR(IF(K121="","",VLOOKUP(K121,Lists!$K$2:$O$61,3,FALSE)),"")</f>
        <v/>
      </c>
      <c r="O121" s="19"/>
      <c r="P121" s="31"/>
      <c r="Q121" s="32"/>
      <c r="R121" s="27"/>
    </row>
    <row r="122" ht="13.5" customHeight="1">
      <c r="A122" s="14"/>
      <c r="B122" s="18" t="str">
        <f>IF(A122="","",IFERROR(LOOKUP(A122,Lists!$U$2:$U$14,Lists!$T$2:$T$14),""))</f>
        <v/>
      </c>
      <c r="C122" s="19"/>
      <c r="D122" s="19"/>
      <c r="E122" s="18" t="str">
        <f t="shared" si="1"/>
        <v/>
      </c>
      <c r="F122" s="19"/>
      <c r="G122" s="23"/>
      <c r="H122" s="19"/>
      <c r="I122" s="19"/>
      <c r="J122" s="19"/>
      <c r="K122" s="19"/>
      <c r="L122" s="30" t="str">
        <f>IFERROR(IF(K122="","",VLOOKUP(K122,Lists!$K$2:$O$61,5,FALSE)),"")</f>
        <v/>
      </c>
      <c r="M122" s="18" t="str">
        <f>IFERROR(IF(K122="","",VLOOKUP(K122,Lists!$K$2:$O$61,2,FALSE)),"")</f>
        <v/>
      </c>
      <c r="N122" s="18" t="str">
        <f>IFERROR(IF(K122="","",VLOOKUP(K122,Lists!$K$2:$O$61,3,FALSE)),"")</f>
        <v/>
      </c>
      <c r="O122" s="19"/>
      <c r="P122" s="31"/>
      <c r="Q122" s="32"/>
      <c r="R122" s="27"/>
    </row>
    <row r="123" ht="13.5" customHeight="1">
      <c r="A123" s="14"/>
      <c r="B123" s="18" t="str">
        <f>IF(A123="","",IFERROR(LOOKUP(A123,Lists!$U$2:$U$14,Lists!$T$2:$T$14),""))</f>
        <v/>
      </c>
      <c r="C123" s="19"/>
      <c r="D123" s="19"/>
      <c r="E123" s="18" t="str">
        <f t="shared" si="1"/>
        <v/>
      </c>
      <c r="F123" s="19"/>
      <c r="G123" s="23"/>
      <c r="H123" s="19"/>
      <c r="I123" s="19"/>
      <c r="J123" s="19"/>
      <c r="K123" s="19"/>
      <c r="L123" s="30" t="str">
        <f>IFERROR(IF(K123="","",VLOOKUP(K123,Lists!$K$2:$O$61,5,FALSE)),"")</f>
        <v/>
      </c>
      <c r="M123" s="18" t="str">
        <f>IFERROR(IF(K123="","",VLOOKUP(K123,Lists!$K$2:$O$61,2,FALSE)),"")</f>
        <v/>
      </c>
      <c r="N123" s="18" t="str">
        <f>IFERROR(IF(K123="","",VLOOKUP(K123,Lists!$K$2:$O$61,3,FALSE)),"")</f>
        <v/>
      </c>
      <c r="O123" s="19"/>
      <c r="P123" s="31"/>
      <c r="Q123" s="32"/>
      <c r="R123" s="27"/>
    </row>
    <row r="124" ht="13.5" customHeight="1">
      <c r="A124" s="14"/>
      <c r="B124" s="18" t="str">
        <f>IF(A124="","",IFERROR(LOOKUP(A124,Lists!$U$2:$U$14,Lists!$T$2:$T$14),""))</f>
        <v/>
      </c>
      <c r="C124" s="19"/>
      <c r="D124" s="19"/>
      <c r="E124" s="18" t="str">
        <f t="shared" si="1"/>
        <v/>
      </c>
      <c r="F124" s="19"/>
      <c r="G124" s="23"/>
      <c r="H124" s="19"/>
      <c r="I124" s="19"/>
      <c r="J124" s="19"/>
      <c r="K124" s="19"/>
      <c r="L124" s="30" t="str">
        <f>IFERROR(IF(K124="","",VLOOKUP(K124,Lists!$K$2:$O$61,5,FALSE)),"")</f>
        <v/>
      </c>
      <c r="M124" s="18" t="str">
        <f>IFERROR(IF(K124="","",VLOOKUP(K124,Lists!$K$2:$O$61,2,FALSE)),"")</f>
        <v/>
      </c>
      <c r="N124" s="18" t="str">
        <f>IFERROR(IF(K124="","",VLOOKUP(K124,Lists!$K$2:$O$61,3,FALSE)),"")</f>
        <v/>
      </c>
      <c r="O124" s="19"/>
      <c r="P124" s="31"/>
      <c r="Q124" s="32"/>
      <c r="R124" s="27"/>
    </row>
    <row r="125" ht="13.5" customHeight="1">
      <c r="A125" s="14"/>
      <c r="B125" s="18" t="str">
        <f>IF(A125="","",IFERROR(LOOKUP(A125,Lists!$U$2:$U$14,Lists!$T$2:$T$14),""))</f>
        <v/>
      </c>
      <c r="C125" s="19"/>
      <c r="D125" s="19"/>
      <c r="E125" s="18" t="str">
        <f t="shared" si="1"/>
        <v/>
      </c>
      <c r="F125" s="19"/>
      <c r="G125" s="23"/>
      <c r="H125" s="19"/>
      <c r="I125" s="19"/>
      <c r="J125" s="19"/>
      <c r="K125" s="19"/>
      <c r="L125" s="30" t="str">
        <f>IFERROR(IF(K125="","",VLOOKUP(K125,Lists!$K$2:$O$61,5,FALSE)),"")</f>
        <v/>
      </c>
      <c r="M125" s="18" t="str">
        <f>IFERROR(IF(K125="","",VLOOKUP(K125,Lists!$K$2:$O$61,2,FALSE)),"")</f>
        <v/>
      </c>
      <c r="N125" s="18" t="str">
        <f>IFERROR(IF(K125="","",VLOOKUP(K125,Lists!$K$2:$O$61,3,FALSE)),"")</f>
        <v/>
      </c>
      <c r="O125" s="19"/>
      <c r="P125" s="31"/>
      <c r="Q125" s="32"/>
      <c r="R125" s="27"/>
    </row>
    <row r="126" ht="13.5" customHeight="1">
      <c r="A126" s="14"/>
      <c r="B126" s="18" t="str">
        <f>IF(A126="","",IFERROR(LOOKUP(A126,Lists!$U$2:$U$14,Lists!$T$2:$T$14),""))</f>
        <v/>
      </c>
      <c r="C126" s="19"/>
      <c r="D126" s="19"/>
      <c r="E126" s="18" t="str">
        <f t="shared" si="1"/>
        <v/>
      </c>
      <c r="F126" s="19"/>
      <c r="G126" s="23"/>
      <c r="H126" s="19"/>
      <c r="I126" s="19"/>
      <c r="J126" s="19"/>
      <c r="K126" s="19"/>
      <c r="L126" s="30" t="str">
        <f>IFERROR(IF(K126="","",VLOOKUP(K126,Lists!$K$2:$O$61,5,FALSE)),"")</f>
        <v/>
      </c>
      <c r="M126" s="18" t="str">
        <f>IFERROR(IF(K126="","",VLOOKUP(K126,Lists!$K$2:$O$61,2,FALSE)),"")</f>
        <v/>
      </c>
      <c r="N126" s="18" t="str">
        <f>IFERROR(IF(K126="","",VLOOKUP(K126,Lists!$K$2:$O$61,3,FALSE)),"")</f>
        <v/>
      </c>
      <c r="O126" s="19"/>
      <c r="P126" s="31"/>
      <c r="Q126" s="32"/>
      <c r="R126" s="27"/>
    </row>
    <row r="127" ht="13.5" customHeight="1">
      <c r="A127" s="14"/>
      <c r="B127" s="18" t="str">
        <f>IF(A127="","",IFERROR(LOOKUP(A127,Lists!$U$2:$U$14,Lists!$T$2:$T$14),""))</f>
        <v/>
      </c>
      <c r="C127" s="19"/>
      <c r="D127" s="19"/>
      <c r="E127" s="18" t="str">
        <f t="shared" si="1"/>
        <v/>
      </c>
      <c r="F127" s="19"/>
      <c r="G127" s="23"/>
      <c r="H127" s="19"/>
      <c r="I127" s="19"/>
      <c r="J127" s="19"/>
      <c r="K127" s="19"/>
      <c r="L127" s="30" t="str">
        <f>IFERROR(IF(K127="","",VLOOKUP(K127,Lists!$K$2:$O$61,5,FALSE)),"")</f>
        <v/>
      </c>
      <c r="M127" s="18" t="str">
        <f>IFERROR(IF(K127="","",VLOOKUP(K127,Lists!$K$2:$O$61,2,FALSE)),"")</f>
        <v/>
      </c>
      <c r="N127" s="18" t="str">
        <f>IFERROR(IF(K127="","",VLOOKUP(K127,Lists!$K$2:$O$61,3,FALSE)),"")</f>
        <v/>
      </c>
      <c r="O127" s="19"/>
      <c r="P127" s="31"/>
      <c r="Q127" s="32"/>
      <c r="R127" s="27"/>
    </row>
    <row r="128" ht="13.5" customHeight="1">
      <c r="A128" s="14"/>
      <c r="B128" s="18" t="str">
        <f>IF(A128="","",IFERROR(LOOKUP(A128,Lists!$U$2:$U$14,Lists!$T$2:$T$14),""))</f>
        <v/>
      </c>
      <c r="C128" s="19"/>
      <c r="D128" s="19"/>
      <c r="E128" s="18" t="str">
        <f t="shared" si="1"/>
        <v/>
      </c>
      <c r="F128" s="19"/>
      <c r="G128" s="23"/>
      <c r="H128" s="19"/>
      <c r="I128" s="19"/>
      <c r="J128" s="19"/>
      <c r="K128" s="19"/>
      <c r="L128" s="30" t="str">
        <f>IFERROR(IF(K128="","",VLOOKUP(K128,Lists!$K$2:$O$61,5,FALSE)),"")</f>
        <v/>
      </c>
      <c r="M128" s="18" t="str">
        <f>IFERROR(IF(K128="","",VLOOKUP(K128,Lists!$K$2:$O$61,2,FALSE)),"")</f>
        <v/>
      </c>
      <c r="N128" s="18" t="str">
        <f>IFERROR(IF(K128="","",VLOOKUP(K128,Lists!$K$2:$O$61,3,FALSE)),"")</f>
        <v/>
      </c>
      <c r="O128" s="19"/>
      <c r="P128" s="31"/>
      <c r="Q128" s="32"/>
      <c r="R128" s="27"/>
    </row>
    <row r="129" ht="13.5" customHeight="1">
      <c r="A129" s="14"/>
      <c r="B129" s="18" t="str">
        <f>IF(A129="","",IFERROR(LOOKUP(A129,Lists!$U$2:$U$14,Lists!$T$2:$T$14),""))</f>
        <v/>
      </c>
      <c r="C129" s="19"/>
      <c r="D129" s="19"/>
      <c r="E129" s="18" t="str">
        <f t="shared" si="1"/>
        <v/>
      </c>
      <c r="F129" s="19"/>
      <c r="G129" s="23"/>
      <c r="H129" s="19"/>
      <c r="I129" s="19"/>
      <c r="J129" s="19"/>
      <c r="K129" s="19"/>
      <c r="L129" s="30" t="str">
        <f>IFERROR(IF(K129="","",VLOOKUP(K129,Lists!$K$2:$O$61,5,FALSE)),"")</f>
        <v/>
      </c>
      <c r="M129" s="18" t="str">
        <f>IFERROR(IF(K129="","",VLOOKUP(K129,Lists!$K$2:$O$61,2,FALSE)),"")</f>
        <v/>
      </c>
      <c r="N129" s="18" t="str">
        <f>IFERROR(IF(K129="","",VLOOKUP(K129,Lists!$K$2:$O$61,3,FALSE)),"")</f>
        <v/>
      </c>
      <c r="O129" s="19"/>
      <c r="P129" s="31"/>
      <c r="Q129" s="32"/>
      <c r="R129" s="27"/>
    </row>
    <row r="130" ht="13.5" customHeight="1">
      <c r="A130" s="14"/>
      <c r="B130" s="18" t="str">
        <f>IF(A130="","",IFERROR(LOOKUP(A130,Lists!$U$2:$U$14,Lists!$T$2:$T$14),""))</f>
        <v/>
      </c>
      <c r="C130" s="19"/>
      <c r="D130" s="19"/>
      <c r="E130" s="18" t="str">
        <f t="shared" si="1"/>
        <v/>
      </c>
      <c r="F130" s="19"/>
      <c r="G130" s="23"/>
      <c r="H130" s="19"/>
      <c r="I130" s="19"/>
      <c r="J130" s="19"/>
      <c r="K130" s="19"/>
      <c r="L130" s="30" t="str">
        <f>IFERROR(IF(K130="","",VLOOKUP(K130,Lists!$K$2:$O$61,5,FALSE)),"")</f>
        <v/>
      </c>
      <c r="M130" s="18" t="str">
        <f>IFERROR(IF(K130="","",VLOOKUP(K130,Lists!$K$2:$O$61,2,FALSE)),"")</f>
        <v/>
      </c>
      <c r="N130" s="18" t="str">
        <f>IFERROR(IF(K130="","",VLOOKUP(K130,Lists!$K$2:$O$61,3,FALSE)),"")</f>
        <v/>
      </c>
      <c r="O130" s="19"/>
      <c r="P130" s="31"/>
      <c r="Q130" s="32"/>
      <c r="R130" s="27"/>
    </row>
    <row r="131" ht="13.5" customHeight="1">
      <c r="A131" s="14"/>
      <c r="B131" s="18" t="str">
        <f>IF(A131="","",IFERROR(LOOKUP(A131,Lists!$U$2:$U$14,Lists!$T$2:$T$14),""))</f>
        <v/>
      </c>
      <c r="C131" s="19"/>
      <c r="D131" s="19"/>
      <c r="E131" s="18" t="str">
        <f t="shared" si="1"/>
        <v/>
      </c>
      <c r="F131" s="19"/>
      <c r="G131" s="23"/>
      <c r="H131" s="19"/>
      <c r="I131" s="19"/>
      <c r="J131" s="19"/>
      <c r="K131" s="19"/>
      <c r="L131" s="30" t="str">
        <f>IFERROR(IF(K131="","",VLOOKUP(K131,Lists!$K$2:$O$61,5,FALSE)),"")</f>
        <v/>
      </c>
      <c r="M131" s="18" t="str">
        <f>IFERROR(IF(K131="","",VLOOKUP(K131,Lists!$K$2:$O$61,2,FALSE)),"")</f>
        <v/>
      </c>
      <c r="N131" s="18" t="str">
        <f>IFERROR(IF(K131="","",VLOOKUP(K131,Lists!$K$2:$O$61,3,FALSE)),"")</f>
        <v/>
      </c>
      <c r="O131" s="19"/>
      <c r="P131" s="31"/>
      <c r="Q131" s="32"/>
      <c r="R131" s="27"/>
    </row>
    <row r="132" ht="13.5" customHeight="1">
      <c r="A132" s="14"/>
      <c r="B132" s="18" t="str">
        <f>IF(A132="","",IFERROR(LOOKUP(A132,Lists!$U$2:$U$14,Lists!$T$2:$T$14),""))</f>
        <v/>
      </c>
      <c r="C132" s="19"/>
      <c r="D132" s="19"/>
      <c r="E132" s="18" t="str">
        <f t="shared" si="1"/>
        <v/>
      </c>
      <c r="F132" s="19"/>
      <c r="G132" s="23"/>
      <c r="H132" s="19"/>
      <c r="I132" s="19"/>
      <c r="J132" s="19"/>
      <c r="K132" s="19"/>
      <c r="L132" s="30" t="str">
        <f>IFERROR(IF(K132="","",VLOOKUP(K132,Lists!$K$2:$O$61,5,FALSE)),"")</f>
        <v/>
      </c>
      <c r="M132" s="18" t="str">
        <f>IFERROR(IF(K132="","",VLOOKUP(K132,Lists!$K$2:$O$61,2,FALSE)),"")</f>
        <v/>
      </c>
      <c r="N132" s="18" t="str">
        <f>IFERROR(IF(K132="","",VLOOKUP(K132,Lists!$K$2:$O$61,3,FALSE)),"")</f>
        <v/>
      </c>
      <c r="O132" s="19"/>
      <c r="P132" s="31"/>
      <c r="Q132" s="32"/>
      <c r="R132" s="27"/>
    </row>
    <row r="133" ht="13.5" customHeight="1">
      <c r="A133" s="14"/>
      <c r="B133" s="18" t="str">
        <f>IF(A133="","",IFERROR(LOOKUP(A133,Lists!$U$2:$U$14,Lists!$T$2:$T$14),""))</f>
        <v/>
      </c>
      <c r="C133" s="19"/>
      <c r="D133" s="19"/>
      <c r="E133" s="18" t="str">
        <f t="shared" si="1"/>
        <v/>
      </c>
      <c r="F133" s="19"/>
      <c r="G133" s="23"/>
      <c r="H133" s="19"/>
      <c r="I133" s="19"/>
      <c r="J133" s="19"/>
      <c r="K133" s="19"/>
      <c r="L133" s="30" t="str">
        <f>IFERROR(IF(K133="","",VLOOKUP(K133,Lists!$K$2:$O$61,5,FALSE)),"")</f>
        <v/>
      </c>
      <c r="M133" s="18" t="str">
        <f>IFERROR(IF(K133="","",VLOOKUP(K133,Lists!$K$2:$O$61,2,FALSE)),"")</f>
        <v/>
      </c>
      <c r="N133" s="18" t="str">
        <f>IFERROR(IF(K133="","",VLOOKUP(K133,Lists!$K$2:$O$61,3,FALSE)),"")</f>
        <v/>
      </c>
      <c r="O133" s="19"/>
      <c r="P133" s="31"/>
      <c r="Q133" s="32"/>
      <c r="R133" s="27"/>
    </row>
    <row r="134" ht="13.5" customHeight="1">
      <c r="A134" s="14"/>
      <c r="B134" s="18" t="str">
        <f>IF(A134="","",IFERROR(LOOKUP(A134,Lists!$U$2:$U$14,Lists!$T$2:$T$14),""))</f>
        <v/>
      </c>
      <c r="C134" s="19"/>
      <c r="D134" s="19"/>
      <c r="E134" s="18" t="str">
        <f t="shared" si="1"/>
        <v/>
      </c>
      <c r="F134" s="19"/>
      <c r="G134" s="23"/>
      <c r="H134" s="19"/>
      <c r="I134" s="19"/>
      <c r="J134" s="19"/>
      <c r="K134" s="19"/>
      <c r="L134" s="30" t="str">
        <f>IFERROR(IF(K134="","",VLOOKUP(K134,Lists!$K$2:$O$61,5,FALSE)),"")</f>
        <v/>
      </c>
      <c r="M134" s="18" t="str">
        <f>IFERROR(IF(K134="","",VLOOKUP(K134,Lists!$K$2:$O$61,2,FALSE)),"")</f>
        <v/>
      </c>
      <c r="N134" s="18" t="str">
        <f>IFERROR(IF(K134="","",VLOOKUP(K134,Lists!$K$2:$O$61,3,FALSE)),"")</f>
        <v/>
      </c>
      <c r="O134" s="19"/>
      <c r="P134" s="31"/>
      <c r="Q134" s="32"/>
      <c r="R134" s="27"/>
    </row>
    <row r="135" ht="13.5" customHeight="1">
      <c r="A135" s="14"/>
      <c r="B135" s="18" t="str">
        <f>IF(A135="","",IFERROR(LOOKUP(A135,Lists!$U$2:$U$14,Lists!$T$2:$T$14),""))</f>
        <v/>
      </c>
      <c r="C135" s="19"/>
      <c r="D135" s="19"/>
      <c r="E135" s="18" t="str">
        <f t="shared" si="1"/>
        <v/>
      </c>
      <c r="F135" s="19"/>
      <c r="G135" s="23"/>
      <c r="H135" s="19"/>
      <c r="I135" s="19"/>
      <c r="J135" s="19"/>
      <c r="K135" s="19"/>
      <c r="L135" s="30" t="str">
        <f>IFERROR(IF(K135="","",VLOOKUP(K135,Lists!$K$2:$O$61,5,FALSE)),"")</f>
        <v/>
      </c>
      <c r="M135" s="18" t="str">
        <f>IFERROR(IF(K135="","",VLOOKUP(K135,Lists!$K$2:$O$61,2,FALSE)),"")</f>
        <v/>
      </c>
      <c r="N135" s="18" t="str">
        <f>IFERROR(IF(K135="","",VLOOKUP(K135,Lists!$K$2:$O$61,3,FALSE)),"")</f>
        <v/>
      </c>
      <c r="O135" s="19"/>
      <c r="P135" s="31"/>
      <c r="Q135" s="32"/>
      <c r="R135" s="27"/>
    </row>
    <row r="136" ht="13.5" customHeight="1">
      <c r="A136" s="14"/>
      <c r="B136" s="18" t="str">
        <f>IF(A136="","",IFERROR(LOOKUP(A136,Lists!$U$2:$U$14,Lists!$T$2:$T$14),""))</f>
        <v/>
      </c>
      <c r="C136" s="19"/>
      <c r="D136" s="19"/>
      <c r="E136" s="18" t="str">
        <f t="shared" si="1"/>
        <v/>
      </c>
      <c r="F136" s="19"/>
      <c r="G136" s="23"/>
      <c r="H136" s="19"/>
      <c r="I136" s="19"/>
      <c r="J136" s="19"/>
      <c r="K136" s="19"/>
      <c r="L136" s="30" t="str">
        <f>IFERROR(IF(K136="","",VLOOKUP(K136,Lists!$K$2:$O$61,5,FALSE)),"")</f>
        <v/>
      </c>
      <c r="M136" s="18" t="str">
        <f>IFERROR(IF(K136="","",VLOOKUP(K136,Lists!$K$2:$O$61,2,FALSE)),"")</f>
        <v/>
      </c>
      <c r="N136" s="18" t="str">
        <f>IFERROR(IF(K136="","",VLOOKUP(K136,Lists!$K$2:$O$61,3,FALSE)),"")</f>
        <v/>
      </c>
      <c r="O136" s="19"/>
      <c r="P136" s="31"/>
      <c r="Q136" s="32"/>
      <c r="R136" s="27"/>
    </row>
    <row r="137" ht="13.5" customHeight="1">
      <c r="A137" s="14"/>
      <c r="B137" s="18" t="str">
        <f>IF(A137="","",IFERROR(LOOKUP(A137,Lists!$U$2:$U$14,Lists!$T$2:$T$14),""))</f>
        <v/>
      </c>
      <c r="C137" s="19"/>
      <c r="D137" s="19"/>
      <c r="E137" s="18" t="str">
        <f t="shared" si="1"/>
        <v/>
      </c>
      <c r="F137" s="19"/>
      <c r="G137" s="23"/>
      <c r="H137" s="19"/>
      <c r="I137" s="19"/>
      <c r="J137" s="19"/>
      <c r="K137" s="19"/>
      <c r="L137" s="30" t="str">
        <f>IFERROR(IF(K137="","",VLOOKUP(K137,Lists!$K$2:$O$61,5,FALSE)),"")</f>
        <v/>
      </c>
      <c r="M137" s="18" t="str">
        <f>IFERROR(IF(K137="","",VLOOKUP(K137,Lists!$K$2:$O$61,2,FALSE)),"")</f>
        <v/>
      </c>
      <c r="N137" s="18" t="str">
        <f>IFERROR(IF(K137="","",VLOOKUP(K137,Lists!$K$2:$O$61,3,FALSE)),"")</f>
        <v/>
      </c>
      <c r="O137" s="19"/>
      <c r="P137" s="31"/>
      <c r="Q137" s="32"/>
      <c r="R137" s="27"/>
    </row>
    <row r="138" ht="13.5" customHeight="1">
      <c r="A138" s="14"/>
      <c r="B138" s="18" t="str">
        <f>IF(A138="","",IFERROR(LOOKUP(A138,Lists!$U$2:$U$14,Lists!$T$2:$T$14),""))</f>
        <v/>
      </c>
      <c r="C138" s="19"/>
      <c r="D138" s="19"/>
      <c r="E138" s="18" t="str">
        <f t="shared" si="1"/>
        <v/>
      </c>
      <c r="F138" s="19"/>
      <c r="G138" s="23"/>
      <c r="H138" s="19"/>
      <c r="I138" s="19"/>
      <c r="J138" s="19"/>
      <c r="K138" s="19"/>
      <c r="L138" s="30" t="str">
        <f>IFERROR(IF(K138="","",VLOOKUP(K138,Lists!$K$2:$O$61,5,FALSE)),"")</f>
        <v/>
      </c>
      <c r="M138" s="18" t="str">
        <f>IFERROR(IF(K138="","",VLOOKUP(K138,Lists!$K$2:$O$61,2,FALSE)),"")</f>
        <v/>
      </c>
      <c r="N138" s="18" t="str">
        <f>IFERROR(IF(K138="","",VLOOKUP(K138,Lists!$K$2:$O$61,3,FALSE)),"")</f>
        <v/>
      </c>
      <c r="O138" s="19"/>
      <c r="P138" s="31"/>
      <c r="Q138" s="32"/>
      <c r="R138" s="27"/>
    </row>
    <row r="139" ht="13.5" customHeight="1">
      <c r="A139" s="14"/>
      <c r="B139" s="18" t="str">
        <f>IF(A139="","",IFERROR(LOOKUP(A139,Lists!$U$2:$U$14,Lists!$T$2:$T$14),""))</f>
        <v/>
      </c>
      <c r="C139" s="19"/>
      <c r="D139" s="19"/>
      <c r="E139" s="18" t="str">
        <f t="shared" si="1"/>
        <v/>
      </c>
      <c r="F139" s="19"/>
      <c r="G139" s="23"/>
      <c r="H139" s="19"/>
      <c r="I139" s="19"/>
      <c r="J139" s="19"/>
      <c r="K139" s="19"/>
      <c r="L139" s="30" t="str">
        <f>IFERROR(IF(K139="","",VLOOKUP(K139,Lists!$K$2:$O$61,5,FALSE)),"")</f>
        <v/>
      </c>
      <c r="M139" s="18" t="str">
        <f>IFERROR(IF(K139="","",VLOOKUP(K139,Lists!$K$2:$O$61,2,FALSE)),"")</f>
        <v/>
      </c>
      <c r="N139" s="18" t="str">
        <f>IFERROR(IF(K139="","",VLOOKUP(K139,Lists!$K$2:$O$61,3,FALSE)),"")</f>
        <v/>
      </c>
      <c r="O139" s="19"/>
      <c r="P139" s="31"/>
      <c r="Q139" s="32"/>
      <c r="R139" s="27"/>
    </row>
    <row r="140" ht="13.5" customHeight="1">
      <c r="A140" s="14"/>
      <c r="B140" s="18" t="str">
        <f>IF(A140="","",IFERROR(LOOKUP(A140,Lists!$U$2:$U$14,Lists!$T$2:$T$14),""))</f>
        <v/>
      </c>
      <c r="C140" s="19"/>
      <c r="D140" s="19"/>
      <c r="E140" s="18" t="str">
        <f t="shared" si="1"/>
        <v/>
      </c>
      <c r="F140" s="19"/>
      <c r="G140" s="23"/>
      <c r="H140" s="19"/>
      <c r="I140" s="19"/>
      <c r="J140" s="19"/>
      <c r="K140" s="19"/>
      <c r="L140" s="30" t="str">
        <f>IFERROR(IF(K140="","",VLOOKUP(K140,Lists!$K$2:$O$61,5,FALSE)),"")</f>
        <v/>
      </c>
      <c r="M140" s="18" t="str">
        <f>IFERROR(IF(K140="","",VLOOKUP(K140,Lists!$K$2:$O$61,2,FALSE)),"")</f>
        <v/>
      </c>
      <c r="N140" s="18" t="str">
        <f>IFERROR(IF(K140="","",VLOOKUP(K140,Lists!$K$2:$O$61,3,FALSE)),"")</f>
        <v/>
      </c>
      <c r="O140" s="19"/>
      <c r="P140" s="31"/>
      <c r="Q140" s="32"/>
      <c r="R140" s="27"/>
    </row>
    <row r="141" ht="13.5" customHeight="1">
      <c r="A141" s="14"/>
      <c r="B141" s="18" t="str">
        <f>IF(A141="","",IFERROR(LOOKUP(A141,Lists!$U$2:$U$14,Lists!$T$2:$T$14),""))</f>
        <v/>
      </c>
      <c r="C141" s="19"/>
      <c r="D141" s="19"/>
      <c r="E141" s="18" t="str">
        <f t="shared" si="1"/>
        <v/>
      </c>
      <c r="F141" s="19"/>
      <c r="G141" s="23"/>
      <c r="H141" s="19"/>
      <c r="I141" s="19"/>
      <c r="J141" s="19"/>
      <c r="K141" s="19"/>
      <c r="L141" s="30" t="str">
        <f>IFERROR(IF(K141="","",VLOOKUP(K141,Lists!$K$2:$O$61,5,FALSE)),"")</f>
        <v/>
      </c>
      <c r="M141" s="18" t="str">
        <f>IFERROR(IF(K141="","",VLOOKUP(K141,Lists!$K$2:$O$61,2,FALSE)),"")</f>
        <v/>
      </c>
      <c r="N141" s="18" t="str">
        <f>IFERROR(IF(K141="","",VLOOKUP(K141,Lists!$K$2:$O$61,3,FALSE)),"")</f>
        <v/>
      </c>
      <c r="O141" s="19"/>
      <c r="P141" s="31"/>
      <c r="Q141" s="32"/>
      <c r="R141" s="27"/>
    </row>
    <row r="142" ht="13.5" customHeight="1">
      <c r="A142" s="14"/>
      <c r="B142" s="18" t="str">
        <f>IF(A142="","",IFERROR(LOOKUP(A142,Lists!$U$2:$U$14,Lists!$T$2:$T$14),""))</f>
        <v/>
      </c>
      <c r="C142" s="19"/>
      <c r="D142" s="19"/>
      <c r="E142" s="18" t="str">
        <f t="shared" si="1"/>
        <v/>
      </c>
      <c r="F142" s="19"/>
      <c r="G142" s="23"/>
      <c r="H142" s="19"/>
      <c r="I142" s="19"/>
      <c r="J142" s="19"/>
      <c r="K142" s="19"/>
      <c r="L142" s="30" t="str">
        <f>IFERROR(IF(K142="","",VLOOKUP(K142,Lists!$K$2:$O$61,5,FALSE)),"")</f>
        <v/>
      </c>
      <c r="M142" s="18" t="str">
        <f>IFERROR(IF(K142="","",VLOOKUP(K142,Lists!$K$2:$O$61,2,FALSE)),"")</f>
        <v/>
      </c>
      <c r="N142" s="18" t="str">
        <f>IFERROR(IF(K142="","",VLOOKUP(K142,Lists!$K$2:$O$61,3,FALSE)),"")</f>
        <v/>
      </c>
      <c r="O142" s="19"/>
      <c r="P142" s="31"/>
      <c r="Q142" s="32"/>
      <c r="R142" s="27"/>
    </row>
    <row r="143" ht="13.5" customHeight="1">
      <c r="A143" s="14"/>
      <c r="B143" s="18" t="str">
        <f>IF(A143="","",IFERROR(LOOKUP(A143,Lists!$U$2:$U$14,Lists!$T$2:$T$14),""))</f>
        <v/>
      </c>
      <c r="C143" s="19"/>
      <c r="D143" s="19"/>
      <c r="E143" s="18" t="str">
        <f t="shared" si="1"/>
        <v/>
      </c>
      <c r="F143" s="19"/>
      <c r="G143" s="23"/>
      <c r="H143" s="19"/>
      <c r="I143" s="19"/>
      <c r="J143" s="19"/>
      <c r="K143" s="19"/>
      <c r="L143" s="30" t="str">
        <f>IFERROR(IF(K143="","",VLOOKUP(K143,Lists!$K$2:$O$61,5,FALSE)),"")</f>
        <v/>
      </c>
      <c r="M143" s="18" t="str">
        <f>IFERROR(IF(K143="","",VLOOKUP(K143,Lists!$K$2:$O$61,2,FALSE)),"")</f>
        <v/>
      </c>
      <c r="N143" s="18" t="str">
        <f>IFERROR(IF(K143="","",VLOOKUP(K143,Lists!$K$2:$O$61,3,FALSE)),"")</f>
        <v/>
      </c>
      <c r="O143" s="19"/>
      <c r="P143" s="31"/>
      <c r="Q143" s="32"/>
      <c r="R143" s="27"/>
    </row>
    <row r="144" ht="13.5" customHeight="1">
      <c r="A144" s="14"/>
      <c r="B144" s="18" t="str">
        <f>IF(A144="","",IFERROR(LOOKUP(A144,Lists!$U$2:$U$14,Lists!$T$2:$T$14),""))</f>
        <v/>
      </c>
      <c r="C144" s="19"/>
      <c r="D144" s="19"/>
      <c r="E144" s="18" t="str">
        <f t="shared" si="1"/>
        <v/>
      </c>
      <c r="F144" s="19"/>
      <c r="G144" s="23"/>
      <c r="H144" s="19"/>
      <c r="I144" s="19"/>
      <c r="J144" s="19"/>
      <c r="K144" s="19"/>
      <c r="L144" s="30" t="str">
        <f>IFERROR(IF(K144="","",VLOOKUP(K144,Lists!$K$2:$O$61,5,FALSE)),"")</f>
        <v/>
      </c>
      <c r="M144" s="18" t="str">
        <f>IFERROR(IF(K144="","",VLOOKUP(K144,Lists!$K$2:$O$61,2,FALSE)),"")</f>
        <v/>
      </c>
      <c r="N144" s="18" t="str">
        <f>IFERROR(IF(K144="","",VLOOKUP(K144,Lists!$K$2:$O$61,3,FALSE)),"")</f>
        <v/>
      </c>
      <c r="O144" s="19"/>
      <c r="P144" s="31"/>
      <c r="Q144" s="32"/>
      <c r="R144" s="27"/>
    </row>
    <row r="145" ht="13.5" customHeight="1">
      <c r="A145" s="14"/>
      <c r="B145" s="18" t="str">
        <f>IF(A145="","",IFERROR(LOOKUP(A145,Lists!$U$2:$U$14,Lists!$T$2:$T$14),""))</f>
        <v/>
      </c>
      <c r="C145" s="19"/>
      <c r="D145" s="19"/>
      <c r="E145" s="18" t="str">
        <f t="shared" si="1"/>
        <v/>
      </c>
      <c r="F145" s="19"/>
      <c r="G145" s="23"/>
      <c r="H145" s="19"/>
      <c r="I145" s="19"/>
      <c r="J145" s="19"/>
      <c r="K145" s="19"/>
      <c r="L145" s="30" t="str">
        <f>IFERROR(IF(K145="","",VLOOKUP(K145,Lists!$K$2:$O$61,5,FALSE)),"")</f>
        <v/>
      </c>
      <c r="M145" s="18" t="str">
        <f>IFERROR(IF(K145="","",VLOOKUP(K145,Lists!$K$2:$O$61,2,FALSE)),"")</f>
        <v/>
      </c>
      <c r="N145" s="18" t="str">
        <f>IFERROR(IF(K145="","",VLOOKUP(K145,Lists!$K$2:$O$61,3,FALSE)),"")</f>
        <v/>
      </c>
      <c r="O145" s="19"/>
      <c r="P145" s="31"/>
      <c r="Q145" s="32"/>
      <c r="R145" s="27"/>
    </row>
    <row r="146" ht="13.5" customHeight="1">
      <c r="A146" s="14"/>
      <c r="B146" s="18" t="str">
        <f>IF(A146="","",IFERROR(LOOKUP(A146,Lists!$U$2:$U$14,Lists!$T$2:$T$14),""))</f>
        <v/>
      </c>
      <c r="C146" s="19"/>
      <c r="D146" s="19"/>
      <c r="E146" s="18" t="str">
        <f t="shared" si="1"/>
        <v/>
      </c>
      <c r="F146" s="19"/>
      <c r="G146" s="23"/>
      <c r="H146" s="19"/>
      <c r="I146" s="19"/>
      <c r="J146" s="19"/>
      <c r="K146" s="19"/>
      <c r="L146" s="30" t="str">
        <f>IFERROR(IF(K146="","",VLOOKUP(K146,Lists!$K$2:$O$61,5,FALSE)),"")</f>
        <v/>
      </c>
      <c r="M146" s="18" t="str">
        <f>IFERROR(IF(K146="","",VLOOKUP(K146,Lists!$K$2:$O$61,2,FALSE)),"")</f>
        <v/>
      </c>
      <c r="N146" s="18" t="str">
        <f>IFERROR(IF(K146="","",VLOOKUP(K146,Lists!$K$2:$O$61,3,FALSE)),"")</f>
        <v/>
      </c>
      <c r="O146" s="19"/>
      <c r="P146" s="31"/>
      <c r="Q146" s="32"/>
      <c r="R146" s="27"/>
    </row>
    <row r="147" ht="13.5" customHeight="1">
      <c r="A147" s="14"/>
      <c r="B147" s="18" t="str">
        <f>IF(A147="","",IFERROR(LOOKUP(A147,Lists!$U$2:$U$14,Lists!$T$2:$T$14),""))</f>
        <v/>
      </c>
      <c r="C147" s="19"/>
      <c r="D147" s="19"/>
      <c r="E147" s="18" t="str">
        <f t="shared" si="1"/>
        <v/>
      </c>
      <c r="F147" s="19"/>
      <c r="G147" s="23"/>
      <c r="H147" s="19"/>
      <c r="I147" s="19"/>
      <c r="J147" s="19"/>
      <c r="K147" s="19"/>
      <c r="L147" s="30" t="str">
        <f>IFERROR(IF(K147="","",VLOOKUP(K147,Lists!$K$2:$O$61,5,FALSE)),"")</f>
        <v/>
      </c>
      <c r="M147" s="18" t="str">
        <f>IFERROR(IF(K147="","",VLOOKUP(K147,Lists!$K$2:$O$61,2,FALSE)),"")</f>
        <v/>
      </c>
      <c r="N147" s="18" t="str">
        <f>IFERROR(IF(K147="","",VLOOKUP(K147,Lists!$K$2:$O$61,3,FALSE)),"")</f>
        <v/>
      </c>
      <c r="O147" s="19"/>
      <c r="P147" s="31"/>
      <c r="Q147" s="32"/>
      <c r="R147" s="27"/>
    </row>
    <row r="148" ht="13.5" customHeight="1">
      <c r="A148" s="14"/>
      <c r="B148" s="18" t="str">
        <f>IF(A148="","",IFERROR(LOOKUP(A148,Lists!$U$2:$U$14,Lists!$T$2:$T$14),""))</f>
        <v/>
      </c>
      <c r="C148" s="19"/>
      <c r="D148" s="19"/>
      <c r="E148" s="18" t="str">
        <f t="shared" si="1"/>
        <v/>
      </c>
      <c r="F148" s="19"/>
      <c r="G148" s="23"/>
      <c r="H148" s="19"/>
      <c r="I148" s="19"/>
      <c r="J148" s="19"/>
      <c r="K148" s="19"/>
      <c r="L148" s="30" t="str">
        <f>IFERROR(IF(K148="","",VLOOKUP(K148,Lists!$K$2:$O$61,5,FALSE)),"")</f>
        <v/>
      </c>
      <c r="M148" s="18" t="str">
        <f>IFERROR(IF(K148="","",VLOOKUP(K148,Lists!$K$2:$O$61,2,FALSE)),"")</f>
        <v/>
      </c>
      <c r="N148" s="18" t="str">
        <f>IFERROR(IF(K148="","",VLOOKUP(K148,Lists!$K$2:$O$61,3,FALSE)),"")</f>
        <v/>
      </c>
      <c r="O148" s="19"/>
      <c r="P148" s="31"/>
      <c r="Q148" s="32"/>
      <c r="R148" s="27"/>
    </row>
    <row r="149" ht="13.5" customHeight="1">
      <c r="A149" s="14"/>
      <c r="B149" s="18" t="str">
        <f>IF(A149="","",IFERROR(LOOKUP(A149,Lists!$U$2:$U$14,Lists!$T$2:$T$14),""))</f>
        <v/>
      </c>
      <c r="C149" s="19"/>
      <c r="D149" s="19"/>
      <c r="E149" s="18" t="str">
        <f t="shared" si="1"/>
        <v/>
      </c>
      <c r="F149" s="19"/>
      <c r="G149" s="23"/>
      <c r="H149" s="19"/>
      <c r="I149" s="19"/>
      <c r="J149" s="19"/>
      <c r="K149" s="19"/>
      <c r="L149" s="30" t="str">
        <f>IFERROR(IF(K149="","",VLOOKUP(K149,Lists!$K$2:$O$61,5,FALSE)),"")</f>
        <v/>
      </c>
      <c r="M149" s="18" t="str">
        <f>IFERROR(IF(K149="","",VLOOKUP(K149,Lists!$K$2:$O$61,2,FALSE)),"")</f>
        <v/>
      </c>
      <c r="N149" s="18" t="str">
        <f>IFERROR(IF(K149="","",VLOOKUP(K149,Lists!$K$2:$O$61,3,FALSE)),"")</f>
        <v/>
      </c>
      <c r="O149" s="19"/>
      <c r="P149" s="31"/>
      <c r="Q149" s="32"/>
      <c r="R149" s="27"/>
    </row>
    <row r="150" ht="13.5" customHeight="1">
      <c r="A150" s="14"/>
      <c r="B150" s="18" t="str">
        <f>IF(A150="","",IFERROR(LOOKUP(A150,Lists!$U$2:$U$14,Lists!$T$2:$T$14),""))</f>
        <v/>
      </c>
      <c r="C150" s="19"/>
      <c r="D150" s="19"/>
      <c r="E150" s="18" t="str">
        <f t="shared" si="1"/>
        <v/>
      </c>
      <c r="F150" s="19"/>
      <c r="G150" s="23"/>
      <c r="H150" s="19"/>
      <c r="I150" s="19"/>
      <c r="J150" s="19"/>
      <c r="K150" s="19"/>
      <c r="L150" s="30" t="str">
        <f>IFERROR(IF(K150="","",VLOOKUP(K150,Lists!$K$2:$O$61,5,FALSE)),"")</f>
        <v/>
      </c>
      <c r="M150" s="18" t="str">
        <f>IFERROR(IF(K150="","",VLOOKUP(K150,Lists!$K$2:$O$61,2,FALSE)),"")</f>
        <v/>
      </c>
      <c r="N150" s="18" t="str">
        <f>IFERROR(IF(K150="","",VLOOKUP(K150,Lists!$K$2:$O$61,3,FALSE)),"")</f>
        <v/>
      </c>
      <c r="O150" s="19"/>
      <c r="P150" s="31"/>
      <c r="Q150" s="32"/>
      <c r="R150" s="27"/>
    </row>
    <row r="151" ht="13.5" customHeight="1">
      <c r="A151" s="14"/>
      <c r="B151" s="18" t="str">
        <f>IF(A151="","",IFERROR(LOOKUP(A151,Lists!$U$2:$U$14,Lists!$T$2:$T$14),""))</f>
        <v/>
      </c>
      <c r="C151" s="19"/>
      <c r="D151" s="19"/>
      <c r="E151" s="18" t="str">
        <f t="shared" si="1"/>
        <v/>
      </c>
      <c r="F151" s="19"/>
      <c r="G151" s="23"/>
      <c r="H151" s="19"/>
      <c r="I151" s="19"/>
      <c r="J151" s="19"/>
      <c r="K151" s="19"/>
      <c r="L151" s="30" t="str">
        <f>IFERROR(IF(K151="","",VLOOKUP(K151,Lists!$K$2:$O$61,5,FALSE)),"")</f>
        <v/>
      </c>
      <c r="M151" s="18" t="str">
        <f>IFERROR(IF(K151="","",VLOOKUP(K151,Lists!$K$2:$O$61,2,FALSE)),"")</f>
        <v/>
      </c>
      <c r="N151" s="18" t="str">
        <f>IFERROR(IF(K151="","",VLOOKUP(K151,Lists!$K$2:$O$61,3,FALSE)),"")</f>
        <v/>
      </c>
      <c r="O151" s="19"/>
      <c r="P151" s="31"/>
      <c r="Q151" s="32"/>
      <c r="R151" s="27"/>
    </row>
    <row r="152" ht="13.5" customHeight="1">
      <c r="A152" s="14"/>
      <c r="B152" s="18" t="str">
        <f>IF(A152="","",IFERROR(LOOKUP(A152,Lists!$U$2:$U$14,Lists!$T$2:$T$14),""))</f>
        <v/>
      </c>
      <c r="C152" s="19"/>
      <c r="D152" s="19"/>
      <c r="E152" s="18" t="str">
        <f t="shared" si="1"/>
        <v/>
      </c>
      <c r="F152" s="19"/>
      <c r="G152" s="23"/>
      <c r="H152" s="19"/>
      <c r="I152" s="19"/>
      <c r="J152" s="19"/>
      <c r="K152" s="19"/>
      <c r="L152" s="30" t="str">
        <f>IFERROR(IF(K152="","",VLOOKUP(K152,Lists!$K$2:$O$61,5,FALSE)),"")</f>
        <v/>
      </c>
      <c r="M152" s="18" t="str">
        <f>IFERROR(IF(K152="","",VLOOKUP(K152,Lists!$K$2:$O$61,2,FALSE)),"")</f>
        <v/>
      </c>
      <c r="N152" s="18" t="str">
        <f>IFERROR(IF(K152="","",VLOOKUP(K152,Lists!$K$2:$O$61,3,FALSE)),"")</f>
        <v/>
      </c>
      <c r="O152" s="19"/>
      <c r="P152" s="31"/>
      <c r="Q152" s="32"/>
      <c r="R152" s="27"/>
    </row>
    <row r="153" ht="13.5" customHeight="1">
      <c r="A153" s="14"/>
      <c r="B153" s="18" t="str">
        <f>IF(A153="","",IFERROR(LOOKUP(A153,Lists!$U$2:$U$14,Lists!$T$2:$T$14),""))</f>
        <v/>
      </c>
      <c r="C153" s="19"/>
      <c r="D153" s="19"/>
      <c r="E153" s="18" t="str">
        <f t="shared" si="1"/>
        <v/>
      </c>
      <c r="F153" s="19"/>
      <c r="G153" s="23"/>
      <c r="H153" s="19"/>
      <c r="I153" s="19"/>
      <c r="J153" s="19"/>
      <c r="K153" s="19"/>
      <c r="L153" s="30" t="str">
        <f>IFERROR(IF(K153="","",VLOOKUP(K153,Lists!$K$2:$O$61,5,FALSE)),"")</f>
        <v/>
      </c>
      <c r="M153" s="18" t="str">
        <f>IFERROR(IF(K153="","",VLOOKUP(K153,Lists!$K$2:$O$61,2,FALSE)),"")</f>
        <v/>
      </c>
      <c r="N153" s="18" t="str">
        <f>IFERROR(IF(K153="","",VLOOKUP(K153,Lists!$K$2:$O$61,3,FALSE)),"")</f>
        <v/>
      </c>
      <c r="O153" s="19"/>
      <c r="P153" s="31"/>
      <c r="Q153" s="32"/>
      <c r="R153" s="27"/>
    </row>
    <row r="154" ht="13.5" customHeight="1">
      <c r="A154" s="14"/>
      <c r="B154" s="18" t="str">
        <f>IF(A154="","",IFERROR(LOOKUP(A154,Lists!$U$2:$U$14,Lists!$T$2:$T$14),""))</f>
        <v/>
      </c>
      <c r="C154" s="19"/>
      <c r="D154" s="19"/>
      <c r="E154" s="18" t="str">
        <f t="shared" si="1"/>
        <v/>
      </c>
      <c r="F154" s="19"/>
      <c r="G154" s="23"/>
      <c r="H154" s="19"/>
      <c r="I154" s="19"/>
      <c r="J154" s="19"/>
      <c r="K154" s="19"/>
      <c r="L154" s="30" t="str">
        <f>IFERROR(IF(K154="","",VLOOKUP(K154,Lists!$K$2:$O$61,5,FALSE)),"")</f>
        <v/>
      </c>
      <c r="M154" s="18" t="str">
        <f>IFERROR(IF(K154="","",VLOOKUP(K154,Lists!$K$2:$O$61,2,FALSE)),"")</f>
        <v/>
      </c>
      <c r="N154" s="18" t="str">
        <f>IFERROR(IF(K154="","",VLOOKUP(K154,Lists!$K$2:$O$61,3,FALSE)),"")</f>
        <v/>
      </c>
      <c r="O154" s="19"/>
      <c r="P154" s="31"/>
      <c r="Q154" s="32"/>
      <c r="R154" s="27"/>
    </row>
    <row r="155" ht="13.5" customHeight="1">
      <c r="A155" s="14"/>
      <c r="B155" s="18" t="str">
        <f>IF(A155="","",IFERROR(LOOKUP(A155,Lists!$U$2:$U$14,Lists!$T$2:$T$14),""))</f>
        <v/>
      </c>
      <c r="C155" s="19"/>
      <c r="D155" s="19"/>
      <c r="E155" s="18" t="str">
        <f t="shared" si="1"/>
        <v/>
      </c>
      <c r="F155" s="19"/>
      <c r="G155" s="23"/>
      <c r="H155" s="19"/>
      <c r="I155" s="19"/>
      <c r="J155" s="19"/>
      <c r="K155" s="19"/>
      <c r="L155" s="30" t="str">
        <f>IFERROR(IF(K155="","",VLOOKUP(K155,Lists!$K$2:$O$61,5,FALSE)),"")</f>
        <v/>
      </c>
      <c r="M155" s="18" t="str">
        <f>IFERROR(IF(K155="","",VLOOKUP(K155,Lists!$K$2:$O$61,2,FALSE)),"")</f>
        <v/>
      </c>
      <c r="N155" s="18" t="str">
        <f>IFERROR(IF(K155="","",VLOOKUP(K155,Lists!$K$2:$O$61,3,FALSE)),"")</f>
        <v/>
      </c>
      <c r="O155" s="19"/>
      <c r="P155" s="31"/>
      <c r="Q155" s="32"/>
      <c r="R155" s="27"/>
    </row>
    <row r="156" ht="13.5" customHeight="1">
      <c r="A156" s="14"/>
      <c r="B156" s="18" t="str">
        <f>IF(A156="","",IFERROR(LOOKUP(A156,Lists!$U$2:$U$14,Lists!$T$2:$T$14),""))</f>
        <v/>
      </c>
      <c r="C156" s="19"/>
      <c r="D156" s="19"/>
      <c r="E156" s="18" t="str">
        <f t="shared" si="1"/>
        <v/>
      </c>
      <c r="F156" s="19"/>
      <c r="G156" s="23"/>
      <c r="H156" s="19"/>
      <c r="I156" s="19"/>
      <c r="J156" s="19"/>
      <c r="K156" s="19"/>
      <c r="L156" s="30" t="str">
        <f>IFERROR(IF(K156="","",VLOOKUP(K156,Lists!$K$2:$O$61,5,FALSE)),"")</f>
        <v/>
      </c>
      <c r="M156" s="18" t="str">
        <f>IFERROR(IF(K156="","",VLOOKUP(K156,Lists!$K$2:$O$61,2,FALSE)),"")</f>
        <v/>
      </c>
      <c r="N156" s="18" t="str">
        <f>IFERROR(IF(K156="","",VLOOKUP(K156,Lists!$K$2:$O$61,3,FALSE)),"")</f>
        <v/>
      </c>
      <c r="O156" s="19"/>
      <c r="P156" s="31"/>
      <c r="Q156" s="32"/>
      <c r="R156" s="27"/>
    </row>
    <row r="157" ht="13.5" customHeight="1">
      <c r="A157" s="14"/>
      <c r="B157" s="18" t="str">
        <f>IF(A157="","",IFERROR(LOOKUP(A157,Lists!$U$2:$U$14,Lists!$T$2:$T$14),""))</f>
        <v/>
      </c>
      <c r="C157" s="19"/>
      <c r="D157" s="19"/>
      <c r="E157" s="18" t="str">
        <f t="shared" si="1"/>
        <v/>
      </c>
      <c r="F157" s="19"/>
      <c r="G157" s="23"/>
      <c r="H157" s="19"/>
      <c r="I157" s="19"/>
      <c r="J157" s="19"/>
      <c r="K157" s="19"/>
      <c r="L157" s="30" t="str">
        <f>IFERROR(IF(K157="","",VLOOKUP(K157,Lists!$K$2:$O$61,5,FALSE)),"")</f>
        <v/>
      </c>
      <c r="M157" s="18" t="str">
        <f>IFERROR(IF(K157="","",VLOOKUP(K157,Lists!$K$2:$O$61,2,FALSE)),"")</f>
        <v/>
      </c>
      <c r="N157" s="18" t="str">
        <f>IFERROR(IF(K157="","",VLOOKUP(K157,Lists!$K$2:$O$61,3,FALSE)),"")</f>
        <v/>
      </c>
      <c r="O157" s="19"/>
      <c r="P157" s="31"/>
      <c r="Q157" s="32"/>
      <c r="R157" s="27"/>
    </row>
    <row r="158" ht="13.5" customHeight="1">
      <c r="A158" s="14"/>
      <c r="B158" s="18" t="str">
        <f>IF(A158="","",IFERROR(LOOKUP(A158,Lists!$U$2:$U$14,Lists!$T$2:$T$14),""))</f>
        <v/>
      </c>
      <c r="C158" s="19"/>
      <c r="D158" s="19"/>
      <c r="E158" s="18" t="str">
        <f t="shared" si="1"/>
        <v/>
      </c>
      <c r="F158" s="19"/>
      <c r="G158" s="23"/>
      <c r="H158" s="19"/>
      <c r="I158" s="19"/>
      <c r="J158" s="19"/>
      <c r="K158" s="19"/>
      <c r="L158" s="30" t="str">
        <f>IFERROR(IF(K158="","",VLOOKUP(K158,Lists!$K$2:$O$61,5,FALSE)),"")</f>
        <v/>
      </c>
      <c r="M158" s="18" t="str">
        <f>IFERROR(IF(K158="","",VLOOKUP(K158,Lists!$K$2:$O$61,2,FALSE)),"")</f>
        <v/>
      </c>
      <c r="N158" s="18" t="str">
        <f>IFERROR(IF(K158="","",VLOOKUP(K158,Lists!$K$2:$O$61,3,FALSE)),"")</f>
        <v/>
      </c>
      <c r="O158" s="19"/>
      <c r="P158" s="31"/>
      <c r="Q158" s="32"/>
      <c r="R158" s="27"/>
    </row>
    <row r="159" ht="13.5" customHeight="1">
      <c r="A159" s="14"/>
      <c r="B159" s="18" t="str">
        <f>IF(A159="","",IFERROR(LOOKUP(A159,Lists!$U$2:$U$14,Lists!$T$2:$T$14),""))</f>
        <v/>
      </c>
      <c r="C159" s="19"/>
      <c r="D159" s="19"/>
      <c r="E159" s="18" t="str">
        <f t="shared" si="1"/>
        <v/>
      </c>
      <c r="F159" s="19"/>
      <c r="G159" s="23"/>
      <c r="H159" s="19"/>
      <c r="I159" s="19"/>
      <c r="J159" s="19"/>
      <c r="K159" s="19"/>
      <c r="L159" s="30" t="str">
        <f>IFERROR(IF(K159="","",VLOOKUP(K159,Lists!$K$2:$O$61,5,FALSE)),"")</f>
        <v/>
      </c>
      <c r="M159" s="18" t="str">
        <f>IFERROR(IF(K159="","",VLOOKUP(K159,Lists!$K$2:$O$61,2,FALSE)),"")</f>
        <v/>
      </c>
      <c r="N159" s="18" t="str">
        <f>IFERROR(IF(K159="","",VLOOKUP(K159,Lists!$K$2:$O$61,3,FALSE)),"")</f>
        <v/>
      </c>
      <c r="O159" s="19"/>
      <c r="P159" s="31"/>
      <c r="Q159" s="32"/>
      <c r="R159" s="27"/>
    </row>
    <row r="160" ht="13.5" customHeight="1">
      <c r="A160" s="14"/>
      <c r="B160" s="18" t="str">
        <f>IF(A160="","",IFERROR(LOOKUP(A160,Lists!$U$2:$U$14,Lists!$T$2:$T$14),""))</f>
        <v/>
      </c>
      <c r="C160" s="19"/>
      <c r="D160" s="19"/>
      <c r="E160" s="18" t="str">
        <f t="shared" si="1"/>
        <v/>
      </c>
      <c r="F160" s="19"/>
      <c r="G160" s="23"/>
      <c r="H160" s="19"/>
      <c r="I160" s="19"/>
      <c r="J160" s="19"/>
      <c r="K160" s="19"/>
      <c r="L160" s="30" t="str">
        <f>IFERROR(IF(K160="","",VLOOKUP(K160,Lists!$K$2:$O$61,5,FALSE)),"")</f>
        <v/>
      </c>
      <c r="M160" s="18" t="str">
        <f>IFERROR(IF(K160="","",VLOOKUP(K160,Lists!$K$2:$O$61,2,FALSE)),"")</f>
        <v/>
      </c>
      <c r="N160" s="18" t="str">
        <f>IFERROR(IF(K160="","",VLOOKUP(K160,Lists!$K$2:$O$61,3,FALSE)),"")</f>
        <v/>
      </c>
      <c r="O160" s="19"/>
      <c r="P160" s="31"/>
      <c r="Q160" s="32"/>
      <c r="R160" s="27"/>
    </row>
    <row r="161" ht="13.5" customHeight="1">
      <c r="A161" s="14"/>
      <c r="B161" s="18" t="str">
        <f>IF(A161="","",IFERROR(LOOKUP(A161,Lists!$U$2:$U$14,Lists!$T$2:$T$14),""))</f>
        <v/>
      </c>
      <c r="C161" s="19"/>
      <c r="D161" s="19"/>
      <c r="E161" s="18" t="str">
        <f t="shared" si="1"/>
        <v/>
      </c>
      <c r="F161" s="19"/>
      <c r="G161" s="23"/>
      <c r="H161" s="19"/>
      <c r="I161" s="19"/>
      <c r="J161" s="19"/>
      <c r="K161" s="19"/>
      <c r="L161" s="30" t="str">
        <f>IFERROR(IF(K161="","",VLOOKUP(K161,Lists!$K$2:$O$61,5,FALSE)),"")</f>
        <v/>
      </c>
      <c r="M161" s="18" t="str">
        <f>IFERROR(IF(K161="","",VLOOKUP(K161,Lists!$K$2:$O$61,2,FALSE)),"")</f>
        <v/>
      </c>
      <c r="N161" s="18" t="str">
        <f>IFERROR(IF(K161="","",VLOOKUP(K161,Lists!$K$2:$O$61,3,FALSE)),"")</f>
        <v/>
      </c>
      <c r="O161" s="19"/>
      <c r="P161" s="31"/>
      <c r="Q161" s="32"/>
      <c r="R161" s="27"/>
    </row>
    <row r="162" ht="13.5" customHeight="1">
      <c r="A162" s="14"/>
      <c r="B162" s="18" t="str">
        <f>IF(A162="","",IFERROR(LOOKUP(A162,Lists!$U$2:$U$14,Lists!$T$2:$T$14),""))</f>
        <v/>
      </c>
      <c r="C162" s="19"/>
      <c r="D162" s="19"/>
      <c r="E162" s="18" t="str">
        <f t="shared" si="1"/>
        <v/>
      </c>
      <c r="F162" s="19"/>
      <c r="G162" s="23"/>
      <c r="H162" s="19"/>
      <c r="I162" s="19"/>
      <c r="J162" s="19"/>
      <c r="K162" s="19"/>
      <c r="L162" s="30" t="str">
        <f>IFERROR(IF(K162="","",VLOOKUP(K162,Lists!$K$2:$O$61,5,FALSE)),"")</f>
        <v/>
      </c>
      <c r="M162" s="18" t="str">
        <f>IFERROR(IF(K162="","",VLOOKUP(K162,Lists!$K$2:$O$61,2,FALSE)),"")</f>
        <v/>
      </c>
      <c r="N162" s="18" t="str">
        <f>IFERROR(IF(K162="","",VLOOKUP(K162,Lists!$K$2:$O$61,3,FALSE)),"")</f>
        <v/>
      </c>
      <c r="O162" s="19"/>
      <c r="P162" s="31"/>
      <c r="Q162" s="32"/>
      <c r="R162" s="27"/>
    </row>
    <row r="163" ht="13.5" customHeight="1">
      <c r="A163" s="14"/>
      <c r="B163" s="18" t="str">
        <f>IF(A163="","",IFERROR(LOOKUP(A163,Lists!$U$2:$U$14,Lists!$T$2:$T$14),""))</f>
        <v/>
      </c>
      <c r="C163" s="19"/>
      <c r="D163" s="19"/>
      <c r="E163" s="18" t="str">
        <f t="shared" si="1"/>
        <v/>
      </c>
      <c r="F163" s="19"/>
      <c r="G163" s="23"/>
      <c r="H163" s="19"/>
      <c r="I163" s="19"/>
      <c r="J163" s="19"/>
      <c r="K163" s="19"/>
      <c r="L163" s="30" t="str">
        <f>IFERROR(IF(K163="","",VLOOKUP(K163,Lists!$K$2:$O$61,5,FALSE)),"")</f>
        <v/>
      </c>
      <c r="M163" s="18" t="str">
        <f>IFERROR(IF(K163="","",VLOOKUP(K163,Lists!$K$2:$O$61,2,FALSE)),"")</f>
        <v/>
      </c>
      <c r="N163" s="18" t="str">
        <f>IFERROR(IF(K163="","",VLOOKUP(K163,Lists!$K$2:$O$61,3,FALSE)),"")</f>
        <v/>
      </c>
      <c r="O163" s="19"/>
      <c r="P163" s="31"/>
      <c r="Q163" s="32"/>
      <c r="R163" s="27"/>
    </row>
    <row r="164" ht="13.5" customHeight="1">
      <c r="A164" s="14"/>
      <c r="B164" s="18" t="str">
        <f>IF(A164="","",IFERROR(LOOKUP(A164,Lists!$U$2:$U$14,Lists!$T$2:$T$14),""))</f>
        <v/>
      </c>
      <c r="C164" s="19"/>
      <c r="D164" s="19"/>
      <c r="E164" s="18" t="str">
        <f t="shared" si="1"/>
        <v/>
      </c>
      <c r="F164" s="19"/>
      <c r="G164" s="23"/>
      <c r="H164" s="19"/>
      <c r="I164" s="19"/>
      <c r="J164" s="19"/>
      <c r="K164" s="19"/>
      <c r="L164" s="30" t="str">
        <f>IFERROR(IF(K164="","",VLOOKUP(K164,Lists!$K$2:$O$61,5,FALSE)),"")</f>
        <v/>
      </c>
      <c r="M164" s="18" t="str">
        <f>IFERROR(IF(K164="","",VLOOKUP(K164,Lists!$K$2:$O$61,2,FALSE)),"")</f>
        <v/>
      </c>
      <c r="N164" s="18" t="str">
        <f>IFERROR(IF(K164="","",VLOOKUP(K164,Lists!$K$2:$O$61,3,FALSE)),"")</f>
        <v/>
      </c>
      <c r="O164" s="19"/>
      <c r="P164" s="31"/>
      <c r="Q164" s="32"/>
      <c r="R164" s="27"/>
    </row>
    <row r="165" ht="13.5" customHeight="1">
      <c r="A165" s="14"/>
      <c r="B165" s="18" t="str">
        <f>IF(A165="","",IFERROR(LOOKUP(A165,Lists!$U$2:$U$14,Lists!$T$2:$T$14),""))</f>
        <v/>
      </c>
      <c r="C165" s="19"/>
      <c r="D165" s="19"/>
      <c r="E165" s="18" t="str">
        <f t="shared" si="1"/>
        <v/>
      </c>
      <c r="F165" s="19"/>
      <c r="G165" s="23"/>
      <c r="H165" s="19"/>
      <c r="I165" s="19"/>
      <c r="J165" s="19"/>
      <c r="K165" s="19"/>
      <c r="L165" s="30" t="str">
        <f>IFERROR(IF(K165="","",VLOOKUP(K165,Lists!$K$2:$O$61,5,FALSE)),"")</f>
        <v/>
      </c>
      <c r="M165" s="18" t="str">
        <f>IFERROR(IF(K165="","",VLOOKUP(K165,Lists!$K$2:$O$61,2,FALSE)),"")</f>
        <v/>
      </c>
      <c r="N165" s="18" t="str">
        <f>IFERROR(IF(K165="","",VLOOKUP(K165,Lists!$K$2:$O$61,3,FALSE)),"")</f>
        <v/>
      </c>
      <c r="O165" s="19"/>
      <c r="P165" s="31"/>
      <c r="Q165" s="32"/>
      <c r="R165" s="27"/>
    </row>
    <row r="166" ht="13.5" customHeight="1">
      <c r="A166" s="14"/>
      <c r="B166" s="18" t="str">
        <f>IF(A166="","",IFERROR(LOOKUP(A166,Lists!$U$2:$U$14,Lists!$T$2:$T$14),""))</f>
        <v/>
      </c>
      <c r="C166" s="19"/>
      <c r="D166" s="19"/>
      <c r="E166" s="18" t="str">
        <f t="shared" si="1"/>
        <v/>
      </c>
      <c r="F166" s="19"/>
      <c r="G166" s="23"/>
      <c r="H166" s="19"/>
      <c r="I166" s="19"/>
      <c r="J166" s="19"/>
      <c r="K166" s="19"/>
      <c r="L166" s="30" t="str">
        <f>IFERROR(IF(K166="","",VLOOKUP(K166,Lists!$K$2:$O$61,5,FALSE)),"")</f>
        <v/>
      </c>
      <c r="M166" s="18" t="str">
        <f>IFERROR(IF(K166="","",VLOOKUP(K166,Lists!$K$2:$O$61,2,FALSE)),"")</f>
        <v/>
      </c>
      <c r="N166" s="18" t="str">
        <f>IFERROR(IF(K166="","",VLOOKUP(K166,Lists!$K$2:$O$61,3,FALSE)),"")</f>
        <v/>
      </c>
      <c r="O166" s="19"/>
      <c r="P166" s="31"/>
      <c r="Q166" s="32"/>
      <c r="R166" s="27"/>
    </row>
    <row r="167" ht="13.5" customHeight="1">
      <c r="A167" s="14"/>
      <c r="B167" s="18" t="str">
        <f>IF(A167="","",IFERROR(LOOKUP(A167,Lists!$U$2:$U$14,Lists!$T$2:$T$14),""))</f>
        <v/>
      </c>
      <c r="C167" s="19"/>
      <c r="D167" s="19"/>
      <c r="E167" s="18" t="str">
        <f t="shared" si="1"/>
        <v/>
      </c>
      <c r="F167" s="19"/>
      <c r="G167" s="23"/>
      <c r="H167" s="19"/>
      <c r="I167" s="19"/>
      <c r="J167" s="19"/>
      <c r="K167" s="19"/>
      <c r="L167" s="30" t="str">
        <f>IFERROR(IF(K167="","",VLOOKUP(K167,Lists!$K$2:$O$61,5,FALSE)),"")</f>
        <v/>
      </c>
      <c r="M167" s="18" t="str">
        <f>IFERROR(IF(K167="","",VLOOKUP(K167,Lists!$K$2:$O$61,2,FALSE)),"")</f>
        <v/>
      </c>
      <c r="N167" s="18" t="str">
        <f>IFERROR(IF(K167="","",VLOOKUP(K167,Lists!$K$2:$O$61,3,FALSE)),"")</f>
        <v/>
      </c>
      <c r="O167" s="19"/>
      <c r="P167" s="31"/>
      <c r="Q167" s="32"/>
      <c r="R167" s="27"/>
    </row>
    <row r="168" ht="13.5" customHeight="1">
      <c r="A168" s="14"/>
      <c r="B168" s="18" t="str">
        <f>IF(A168="","",IFERROR(LOOKUP(A168,Lists!$U$2:$U$14,Lists!$T$2:$T$14),""))</f>
        <v/>
      </c>
      <c r="C168" s="19"/>
      <c r="D168" s="19"/>
      <c r="E168" s="18" t="str">
        <f t="shared" si="1"/>
        <v/>
      </c>
      <c r="F168" s="19"/>
      <c r="G168" s="23"/>
      <c r="H168" s="19"/>
      <c r="I168" s="19"/>
      <c r="J168" s="19"/>
      <c r="K168" s="19"/>
      <c r="L168" s="30" t="str">
        <f>IFERROR(IF(K168="","",VLOOKUP(K168,Lists!$K$2:$O$61,5,FALSE)),"")</f>
        <v/>
      </c>
      <c r="M168" s="18" t="str">
        <f>IFERROR(IF(K168="","",VLOOKUP(K168,Lists!$K$2:$O$61,2,FALSE)),"")</f>
        <v/>
      </c>
      <c r="N168" s="18" t="str">
        <f>IFERROR(IF(K168="","",VLOOKUP(K168,Lists!$K$2:$O$61,3,FALSE)),"")</f>
        <v/>
      </c>
      <c r="O168" s="19"/>
      <c r="P168" s="31"/>
      <c r="Q168" s="32"/>
      <c r="R168" s="27"/>
    </row>
    <row r="169" ht="13.5" customHeight="1">
      <c r="A169" s="14"/>
      <c r="B169" s="18" t="str">
        <f>IF(A169="","",IFERROR(LOOKUP(A169,Lists!$U$2:$U$14,Lists!$T$2:$T$14),""))</f>
        <v/>
      </c>
      <c r="C169" s="19"/>
      <c r="D169" s="19"/>
      <c r="E169" s="18" t="str">
        <f t="shared" si="1"/>
        <v/>
      </c>
      <c r="F169" s="19"/>
      <c r="G169" s="23"/>
      <c r="H169" s="19"/>
      <c r="I169" s="19"/>
      <c r="J169" s="19"/>
      <c r="K169" s="19"/>
      <c r="L169" s="30" t="str">
        <f>IFERROR(IF(K169="","",VLOOKUP(K169,Lists!$K$2:$O$61,5,FALSE)),"")</f>
        <v/>
      </c>
      <c r="M169" s="18" t="str">
        <f>IFERROR(IF(K169="","",VLOOKUP(K169,Lists!$K$2:$O$61,2,FALSE)),"")</f>
        <v/>
      </c>
      <c r="N169" s="18" t="str">
        <f>IFERROR(IF(K169="","",VLOOKUP(K169,Lists!$K$2:$O$61,3,FALSE)),"")</f>
        <v/>
      </c>
      <c r="O169" s="19"/>
      <c r="P169" s="31"/>
      <c r="Q169" s="32"/>
      <c r="R169" s="27"/>
    </row>
    <row r="170" ht="13.5" customHeight="1">
      <c r="A170" s="14"/>
      <c r="B170" s="18" t="str">
        <f>IF(A170="","",IFERROR(LOOKUP(A170,Lists!$U$2:$U$14,Lists!$T$2:$T$14),""))</f>
        <v/>
      </c>
      <c r="C170" s="19"/>
      <c r="D170" s="19"/>
      <c r="E170" s="18" t="str">
        <f t="shared" si="1"/>
        <v/>
      </c>
      <c r="F170" s="19"/>
      <c r="G170" s="23"/>
      <c r="H170" s="19"/>
      <c r="I170" s="19"/>
      <c r="J170" s="19"/>
      <c r="K170" s="19"/>
      <c r="L170" s="30" t="str">
        <f>IFERROR(IF(K170="","",VLOOKUP(K170,Lists!$K$2:$O$61,5,FALSE)),"")</f>
        <v/>
      </c>
      <c r="M170" s="18" t="str">
        <f>IFERROR(IF(K170="","",VLOOKUP(K170,Lists!$K$2:$O$61,2,FALSE)),"")</f>
        <v/>
      </c>
      <c r="N170" s="18" t="str">
        <f>IFERROR(IF(K170="","",VLOOKUP(K170,Lists!$K$2:$O$61,3,FALSE)),"")</f>
        <v/>
      </c>
      <c r="O170" s="19"/>
      <c r="P170" s="31"/>
      <c r="Q170" s="32"/>
      <c r="R170" s="27"/>
    </row>
    <row r="171" ht="13.5" customHeight="1">
      <c r="A171" s="14"/>
      <c r="B171" s="18" t="str">
        <f>IF(A171="","",IFERROR(LOOKUP(A171,Lists!$U$2:$U$14,Lists!$T$2:$T$14),""))</f>
        <v/>
      </c>
      <c r="C171" s="19"/>
      <c r="D171" s="19"/>
      <c r="E171" s="18" t="str">
        <f t="shared" si="1"/>
        <v/>
      </c>
      <c r="F171" s="19"/>
      <c r="G171" s="23"/>
      <c r="H171" s="19"/>
      <c r="I171" s="19"/>
      <c r="J171" s="19"/>
      <c r="K171" s="19"/>
      <c r="L171" s="30" t="str">
        <f>IFERROR(IF(K171="","",VLOOKUP(K171,Lists!$K$2:$O$61,5,FALSE)),"")</f>
        <v/>
      </c>
      <c r="M171" s="18" t="str">
        <f>IFERROR(IF(K171="","",VLOOKUP(K171,Lists!$K$2:$O$61,2,FALSE)),"")</f>
        <v/>
      </c>
      <c r="N171" s="18" t="str">
        <f>IFERROR(IF(K171="","",VLOOKUP(K171,Lists!$K$2:$O$61,3,FALSE)),"")</f>
        <v/>
      </c>
      <c r="O171" s="19"/>
      <c r="P171" s="31"/>
      <c r="Q171" s="32"/>
      <c r="R171" s="27"/>
    </row>
    <row r="172" ht="13.5" customHeight="1">
      <c r="A172" s="14"/>
      <c r="B172" s="18" t="str">
        <f>IF(A172="","",IFERROR(LOOKUP(A172,Lists!$U$2:$U$14,Lists!$T$2:$T$14),""))</f>
        <v/>
      </c>
      <c r="C172" s="19"/>
      <c r="D172" s="19"/>
      <c r="E172" s="18" t="str">
        <f t="shared" si="1"/>
        <v/>
      </c>
      <c r="F172" s="19"/>
      <c r="G172" s="23"/>
      <c r="H172" s="19"/>
      <c r="I172" s="19"/>
      <c r="J172" s="19"/>
      <c r="K172" s="19"/>
      <c r="L172" s="30" t="str">
        <f>IFERROR(IF(K172="","",VLOOKUP(K172,Lists!$K$2:$O$61,5,FALSE)),"")</f>
        <v/>
      </c>
      <c r="M172" s="18" t="str">
        <f>IFERROR(IF(K172="","",VLOOKUP(K172,Lists!$K$2:$O$61,2,FALSE)),"")</f>
        <v/>
      </c>
      <c r="N172" s="18" t="str">
        <f>IFERROR(IF(K172="","",VLOOKUP(K172,Lists!$K$2:$O$61,3,FALSE)),"")</f>
        <v/>
      </c>
      <c r="O172" s="19"/>
      <c r="P172" s="31"/>
      <c r="Q172" s="32"/>
      <c r="R172" s="27"/>
    </row>
    <row r="173" ht="13.5" customHeight="1">
      <c r="A173" s="14"/>
      <c r="B173" s="18" t="str">
        <f>IF(A173="","",IFERROR(LOOKUP(A173,Lists!$U$2:$U$14,Lists!$T$2:$T$14),""))</f>
        <v/>
      </c>
      <c r="C173" s="19"/>
      <c r="D173" s="19"/>
      <c r="E173" s="18" t="str">
        <f t="shared" si="1"/>
        <v/>
      </c>
      <c r="F173" s="19"/>
      <c r="G173" s="23"/>
      <c r="H173" s="19"/>
      <c r="I173" s="19"/>
      <c r="J173" s="19"/>
      <c r="K173" s="19"/>
      <c r="L173" s="30" t="str">
        <f>IFERROR(IF(K173="","",VLOOKUP(K173,Lists!$K$2:$O$61,5,FALSE)),"")</f>
        <v/>
      </c>
      <c r="M173" s="18" t="str">
        <f>IFERROR(IF(K173="","",VLOOKUP(K173,Lists!$K$2:$O$61,2,FALSE)),"")</f>
        <v/>
      </c>
      <c r="N173" s="18" t="str">
        <f>IFERROR(IF(K173="","",VLOOKUP(K173,Lists!$K$2:$O$61,3,FALSE)),"")</f>
        <v/>
      </c>
      <c r="O173" s="19"/>
      <c r="P173" s="31"/>
      <c r="Q173" s="32"/>
      <c r="R173" s="27"/>
    </row>
    <row r="174" ht="13.5" customHeight="1">
      <c r="A174" s="14"/>
      <c r="B174" s="18" t="str">
        <f>IF(A174="","",IFERROR(LOOKUP(A174,Lists!$U$2:$U$14,Lists!$T$2:$T$14),""))</f>
        <v/>
      </c>
      <c r="C174" s="19"/>
      <c r="D174" s="19"/>
      <c r="E174" s="18" t="str">
        <f t="shared" si="1"/>
        <v/>
      </c>
      <c r="F174" s="19"/>
      <c r="G174" s="23"/>
      <c r="H174" s="19"/>
      <c r="I174" s="19"/>
      <c r="J174" s="19"/>
      <c r="K174" s="19"/>
      <c r="L174" s="30" t="str">
        <f>IFERROR(IF(K174="","",VLOOKUP(K174,Lists!$K$2:$O$61,5,FALSE)),"")</f>
        <v/>
      </c>
      <c r="M174" s="18" t="str">
        <f>IFERROR(IF(K174="","",VLOOKUP(K174,Lists!$K$2:$O$61,2,FALSE)),"")</f>
        <v/>
      </c>
      <c r="N174" s="18" t="str">
        <f>IFERROR(IF(K174="","",VLOOKUP(K174,Lists!$K$2:$O$61,3,FALSE)),"")</f>
        <v/>
      </c>
      <c r="O174" s="19"/>
      <c r="P174" s="31"/>
      <c r="Q174" s="32"/>
      <c r="R174" s="27"/>
    </row>
    <row r="175" ht="13.5" customHeight="1">
      <c r="A175" s="14"/>
      <c r="B175" s="18" t="str">
        <f>IF(A175="","",IFERROR(LOOKUP(A175,Lists!$U$2:$U$14,Lists!$T$2:$T$14),""))</f>
        <v/>
      </c>
      <c r="C175" s="19"/>
      <c r="D175" s="19"/>
      <c r="E175" s="18" t="str">
        <f t="shared" si="1"/>
        <v/>
      </c>
      <c r="F175" s="19"/>
      <c r="G175" s="23"/>
      <c r="H175" s="19"/>
      <c r="I175" s="19"/>
      <c r="J175" s="19"/>
      <c r="K175" s="19"/>
      <c r="L175" s="30" t="str">
        <f>IFERROR(IF(K175="","",VLOOKUP(K175,Lists!$K$2:$O$61,5,FALSE)),"")</f>
        <v/>
      </c>
      <c r="M175" s="18" t="str">
        <f>IFERROR(IF(K175="","",VLOOKUP(K175,Lists!$K$2:$O$61,2,FALSE)),"")</f>
        <v/>
      </c>
      <c r="N175" s="18" t="str">
        <f>IFERROR(IF(K175="","",VLOOKUP(K175,Lists!$K$2:$O$61,3,FALSE)),"")</f>
        <v/>
      </c>
      <c r="O175" s="19"/>
      <c r="P175" s="31"/>
      <c r="Q175" s="32"/>
      <c r="R175" s="27"/>
    </row>
    <row r="176" ht="13.5" customHeight="1">
      <c r="A176" s="14"/>
      <c r="B176" s="18" t="str">
        <f>IF(A176="","",IFERROR(LOOKUP(A176,Lists!$U$2:$U$14,Lists!$T$2:$T$14),""))</f>
        <v/>
      </c>
      <c r="C176" s="19"/>
      <c r="D176" s="19"/>
      <c r="E176" s="18" t="str">
        <f t="shared" si="1"/>
        <v/>
      </c>
      <c r="F176" s="19"/>
      <c r="G176" s="23"/>
      <c r="H176" s="19"/>
      <c r="I176" s="19"/>
      <c r="J176" s="19"/>
      <c r="K176" s="19"/>
      <c r="L176" s="30" t="str">
        <f>IFERROR(IF(K176="","",VLOOKUP(K176,Lists!$K$2:$O$61,5,FALSE)),"")</f>
        <v/>
      </c>
      <c r="M176" s="18" t="str">
        <f>IFERROR(IF(K176="","",VLOOKUP(K176,Lists!$K$2:$O$61,2,FALSE)),"")</f>
        <v/>
      </c>
      <c r="N176" s="18" t="str">
        <f>IFERROR(IF(K176="","",VLOOKUP(K176,Lists!$K$2:$O$61,3,FALSE)),"")</f>
        <v/>
      </c>
      <c r="O176" s="19"/>
      <c r="P176" s="31"/>
      <c r="Q176" s="32"/>
      <c r="R176" s="27"/>
    </row>
    <row r="177" ht="13.5" customHeight="1">
      <c r="A177" s="14"/>
      <c r="B177" s="18" t="str">
        <f>IF(A177="","",IFERROR(LOOKUP(A177,Lists!$U$2:$U$14,Lists!$T$2:$T$14),""))</f>
        <v/>
      </c>
      <c r="C177" s="19"/>
      <c r="D177" s="19"/>
      <c r="E177" s="18" t="str">
        <f t="shared" si="1"/>
        <v/>
      </c>
      <c r="F177" s="19"/>
      <c r="G177" s="23"/>
      <c r="H177" s="19"/>
      <c r="I177" s="19"/>
      <c r="J177" s="19"/>
      <c r="K177" s="19"/>
      <c r="L177" s="30" t="str">
        <f>IFERROR(IF(K177="","",VLOOKUP(K177,Lists!$K$2:$O$61,5,FALSE)),"")</f>
        <v/>
      </c>
      <c r="M177" s="18" t="str">
        <f>IFERROR(IF(K177="","",VLOOKUP(K177,Lists!$K$2:$O$61,2,FALSE)),"")</f>
        <v/>
      </c>
      <c r="N177" s="18" t="str">
        <f>IFERROR(IF(K177="","",VLOOKUP(K177,Lists!$K$2:$O$61,3,FALSE)),"")</f>
        <v/>
      </c>
      <c r="O177" s="19"/>
      <c r="P177" s="31"/>
      <c r="Q177" s="32"/>
      <c r="R177" s="27"/>
    </row>
    <row r="178" ht="13.5" customHeight="1">
      <c r="A178" s="14"/>
      <c r="B178" s="18" t="str">
        <f>IF(A178="","",IFERROR(LOOKUP(A178,Lists!$U$2:$U$14,Lists!$T$2:$T$14),""))</f>
        <v/>
      </c>
      <c r="C178" s="19"/>
      <c r="D178" s="19"/>
      <c r="E178" s="18" t="str">
        <f t="shared" si="1"/>
        <v/>
      </c>
      <c r="F178" s="19"/>
      <c r="G178" s="23"/>
      <c r="H178" s="19"/>
      <c r="I178" s="19"/>
      <c r="J178" s="19"/>
      <c r="K178" s="19"/>
      <c r="L178" s="30" t="str">
        <f>IFERROR(IF(K178="","",VLOOKUP(K178,Lists!$K$2:$O$61,5,FALSE)),"")</f>
        <v/>
      </c>
      <c r="M178" s="18" t="str">
        <f>IFERROR(IF(K178="","",VLOOKUP(K178,Lists!$K$2:$O$61,2,FALSE)),"")</f>
        <v/>
      </c>
      <c r="N178" s="18" t="str">
        <f>IFERROR(IF(K178="","",VLOOKUP(K178,Lists!$K$2:$O$61,3,FALSE)),"")</f>
        <v/>
      </c>
      <c r="O178" s="19"/>
      <c r="P178" s="31"/>
      <c r="Q178" s="32"/>
      <c r="R178" s="27"/>
    </row>
    <row r="179" ht="13.5" customHeight="1">
      <c r="A179" s="14"/>
      <c r="B179" s="18" t="str">
        <f>IF(A179="","",IFERROR(LOOKUP(A179,Lists!$U$2:$U$14,Lists!$T$2:$T$14),""))</f>
        <v/>
      </c>
      <c r="C179" s="19"/>
      <c r="D179" s="19"/>
      <c r="E179" s="18" t="str">
        <f t="shared" si="1"/>
        <v/>
      </c>
      <c r="F179" s="19"/>
      <c r="G179" s="23"/>
      <c r="H179" s="19"/>
      <c r="I179" s="19"/>
      <c r="J179" s="19"/>
      <c r="K179" s="19"/>
      <c r="L179" s="30" t="str">
        <f>IFERROR(IF(K179="","",VLOOKUP(K179,Lists!$K$2:$O$61,5,FALSE)),"")</f>
        <v/>
      </c>
      <c r="M179" s="18" t="str">
        <f>IFERROR(IF(K179="","",VLOOKUP(K179,Lists!$K$2:$O$61,2,FALSE)),"")</f>
        <v/>
      </c>
      <c r="N179" s="18" t="str">
        <f>IFERROR(IF(K179="","",VLOOKUP(K179,Lists!$K$2:$O$61,3,FALSE)),"")</f>
        <v/>
      </c>
      <c r="O179" s="19"/>
      <c r="P179" s="31"/>
      <c r="Q179" s="32"/>
      <c r="R179" s="27"/>
    </row>
    <row r="180" ht="13.5" customHeight="1">
      <c r="A180" s="14"/>
      <c r="B180" s="18" t="str">
        <f>IF(A180="","",IFERROR(LOOKUP(A180,Lists!$U$2:$U$14,Lists!$T$2:$T$14),""))</f>
        <v/>
      </c>
      <c r="C180" s="19"/>
      <c r="D180" s="19"/>
      <c r="E180" s="18" t="str">
        <f t="shared" si="1"/>
        <v/>
      </c>
      <c r="F180" s="19"/>
      <c r="G180" s="23"/>
      <c r="H180" s="19"/>
      <c r="I180" s="19"/>
      <c r="J180" s="19"/>
      <c r="K180" s="19"/>
      <c r="L180" s="30" t="str">
        <f>IFERROR(IF(K180="","",VLOOKUP(K180,Lists!$K$2:$O$61,5,FALSE)),"")</f>
        <v/>
      </c>
      <c r="M180" s="18" t="str">
        <f>IFERROR(IF(K180="","",VLOOKUP(K180,Lists!$K$2:$O$61,2,FALSE)),"")</f>
        <v/>
      </c>
      <c r="N180" s="18" t="str">
        <f>IFERROR(IF(K180="","",VLOOKUP(K180,Lists!$K$2:$O$61,3,FALSE)),"")</f>
        <v/>
      </c>
      <c r="O180" s="19"/>
      <c r="P180" s="31"/>
      <c r="Q180" s="32"/>
      <c r="R180" s="27"/>
    </row>
    <row r="181" ht="13.5" customHeight="1">
      <c r="A181" s="14"/>
      <c r="B181" s="18" t="str">
        <f>IF(A181="","",IFERROR(LOOKUP(A181,Lists!$U$2:$U$14,Lists!$T$2:$T$14),""))</f>
        <v/>
      </c>
      <c r="C181" s="19"/>
      <c r="D181" s="19"/>
      <c r="E181" s="18" t="str">
        <f t="shared" si="1"/>
        <v/>
      </c>
      <c r="F181" s="19"/>
      <c r="G181" s="23"/>
      <c r="H181" s="19"/>
      <c r="I181" s="19"/>
      <c r="J181" s="19"/>
      <c r="K181" s="19"/>
      <c r="L181" s="30" t="str">
        <f>IFERROR(IF(K181="","",VLOOKUP(K181,Lists!$K$2:$O$61,5,FALSE)),"")</f>
        <v/>
      </c>
      <c r="M181" s="18" t="str">
        <f>IFERROR(IF(K181="","",VLOOKUP(K181,Lists!$K$2:$O$61,2,FALSE)),"")</f>
        <v/>
      </c>
      <c r="N181" s="18" t="str">
        <f>IFERROR(IF(K181="","",VLOOKUP(K181,Lists!$K$2:$O$61,3,FALSE)),"")</f>
        <v/>
      </c>
      <c r="O181" s="19"/>
      <c r="P181" s="31"/>
      <c r="Q181" s="32"/>
      <c r="R181" s="27"/>
    </row>
    <row r="182" ht="13.5" customHeight="1">
      <c r="A182" s="14"/>
      <c r="B182" s="18" t="str">
        <f>IF(A182="","",IFERROR(LOOKUP(A182,Lists!$U$2:$U$14,Lists!$T$2:$T$14),""))</f>
        <v/>
      </c>
      <c r="C182" s="19"/>
      <c r="D182" s="19"/>
      <c r="E182" s="18" t="str">
        <f t="shared" si="1"/>
        <v/>
      </c>
      <c r="F182" s="19"/>
      <c r="G182" s="23"/>
      <c r="H182" s="19"/>
      <c r="I182" s="19"/>
      <c r="J182" s="19"/>
      <c r="K182" s="19"/>
      <c r="L182" s="30" t="str">
        <f>IFERROR(IF(K182="","",VLOOKUP(K182,Lists!$K$2:$O$61,5,FALSE)),"")</f>
        <v/>
      </c>
      <c r="M182" s="18" t="str">
        <f>IFERROR(IF(K182="","",VLOOKUP(K182,Lists!$K$2:$O$61,2,FALSE)),"")</f>
        <v/>
      </c>
      <c r="N182" s="18" t="str">
        <f>IFERROR(IF(K182="","",VLOOKUP(K182,Lists!$K$2:$O$61,3,FALSE)),"")</f>
        <v/>
      </c>
      <c r="O182" s="19"/>
      <c r="P182" s="31"/>
      <c r="Q182" s="32"/>
      <c r="R182" s="27"/>
    </row>
    <row r="183" ht="13.5" customHeight="1">
      <c r="A183" s="14"/>
      <c r="B183" s="18" t="str">
        <f>IF(A183="","",IFERROR(LOOKUP(A183,Lists!$U$2:$U$14,Lists!$T$2:$T$14),""))</f>
        <v/>
      </c>
      <c r="C183" s="19"/>
      <c r="D183" s="19"/>
      <c r="E183" s="18" t="str">
        <f t="shared" si="1"/>
        <v/>
      </c>
      <c r="F183" s="19"/>
      <c r="G183" s="23"/>
      <c r="H183" s="19"/>
      <c r="I183" s="19"/>
      <c r="J183" s="19"/>
      <c r="K183" s="19"/>
      <c r="L183" s="30" t="str">
        <f>IFERROR(IF(K183="","",VLOOKUP(K183,Lists!$K$2:$O$61,5,FALSE)),"")</f>
        <v/>
      </c>
      <c r="M183" s="18" t="str">
        <f>IFERROR(IF(K183="","",VLOOKUP(K183,Lists!$K$2:$O$61,2,FALSE)),"")</f>
        <v/>
      </c>
      <c r="N183" s="18" t="str">
        <f>IFERROR(IF(K183="","",VLOOKUP(K183,Lists!$K$2:$O$61,3,FALSE)),"")</f>
        <v/>
      </c>
      <c r="O183" s="19"/>
      <c r="P183" s="31"/>
      <c r="Q183" s="32"/>
      <c r="R183" s="27"/>
    </row>
    <row r="184" ht="13.5" customHeight="1">
      <c r="A184" s="14"/>
      <c r="B184" s="18" t="str">
        <f>IF(A184="","",IFERROR(LOOKUP(A184,Lists!$U$2:$U$14,Lists!$T$2:$T$14),""))</f>
        <v/>
      </c>
      <c r="C184" s="19"/>
      <c r="D184" s="19"/>
      <c r="E184" s="18" t="str">
        <f t="shared" si="1"/>
        <v/>
      </c>
      <c r="F184" s="19"/>
      <c r="G184" s="23"/>
      <c r="H184" s="19"/>
      <c r="I184" s="19"/>
      <c r="J184" s="19"/>
      <c r="K184" s="19"/>
      <c r="L184" s="30" t="str">
        <f>IFERROR(IF(K184="","",VLOOKUP(K184,Lists!$K$2:$O$61,5,FALSE)),"")</f>
        <v/>
      </c>
      <c r="M184" s="18" t="str">
        <f>IFERROR(IF(K184="","",VLOOKUP(K184,Lists!$K$2:$O$61,2,FALSE)),"")</f>
        <v/>
      </c>
      <c r="N184" s="18" t="str">
        <f>IFERROR(IF(K184="","",VLOOKUP(K184,Lists!$K$2:$O$61,3,FALSE)),"")</f>
        <v/>
      </c>
      <c r="O184" s="19"/>
      <c r="P184" s="31"/>
      <c r="Q184" s="32"/>
      <c r="R184" s="27"/>
    </row>
    <row r="185" ht="13.5" customHeight="1">
      <c r="A185" s="14"/>
      <c r="B185" s="18" t="str">
        <f>IF(A185="","",IFERROR(LOOKUP(A185,Lists!$U$2:$U$14,Lists!$T$2:$T$14),""))</f>
        <v/>
      </c>
      <c r="C185" s="19"/>
      <c r="D185" s="19"/>
      <c r="E185" s="18" t="str">
        <f t="shared" si="1"/>
        <v/>
      </c>
      <c r="F185" s="19"/>
      <c r="G185" s="23"/>
      <c r="H185" s="19"/>
      <c r="I185" s="19"/>
      <c r="J185" s="19"/>
      <c r="K185" s="19"/>
      <c r="L185" s="30" t="str">
        <f>IFERROR(IF(K185="","",VLOOKUP(K185,Lists!$K$2:$O$61,5,FALSE)),"")</f>
        <v/>
      </c>
      <c r="M185" s="18" t="str">
        <f>IFERROR(IF(K185="","",VLOOKUP(K185,Lists!$K$2:$O$61,2,FALSE)),"")</f>
        <v/>
      </c>
      <c r="N185" s="18" t="str">
        <f>IFERROR(IF(K185="","",VLOOKUP(K185,Lists!$K$2:$O$61,3,FALSE)),"")</f>
        <v/>
      </c>
      <c r="O185" s="19"/>
      <c r="P185" s="31"/>
      <c r="Q185" s="32"/>
      <c r="R185" s="27"/>
    </row>
    <row r="186" ht="13.5" customHeight="1">
      <c r="A186" s="14"/>
      <c r="B186" s="18" t="str">
        <f>IF(A186="","",IFERROR(LOOKUP(A186,Lists!$U$2:$U$14,Lists!$T$2:$T$14),""))</f>
        <v/>
      </c>
      <c r="C186" s="19"/>
      <c r="D186" s="19"/>
      <c r="E186" s="18" t="str">
        <f t="shared" si="1"/>
        <v/>
      </c>
      <c r="F186" s="19"/>
      <c r="G186" s="23"/>
      <c r="H186" s="19"/>
      <c r="I186" s="19"/>
      <c r="J186" s="19"/>
      <c r="K186" s="19"/>
      <c r="L186" s="30" t="str">
        <f>IFERROR(IF(K186="","",VLOOKUP(K186,Lists!$K$2:$O$61,5,FALSE)),"")</f>
        <v/>
      </c>
      <c r="M186" s="18" t="str">
        <f>IFERROR(IF(K186="","",VLOOKUP(K186,Lists!$K$2:$O$61,2,FALSE)),"")</f>
        <v/>
      </c>
      <c r="N186" s="18" t="str">
        <f>IFERROR(IF(K186="","",VLOOKUP(K186,Lists!$K$2:$O$61,3,FALSE)),"")</f>
        <v/>
      </c>
      <c r="O186" s="19"/>
      <c r="P186" s="31"/>
      <c r="Q186" s="32"/>
      <c r="R186" s="27"/>
    </row>
    <row r="187" ht="13.5" customHeight="1">
      <c r="A187" s="14"/>
      <c r="B187" s="18" t="str">
        <f>IF(A187="","",IFERROR(LOOKUP(A187,Lists!$U$2:$U$14,Lists!$T$2:$T$14),""))</f>
        <v/>
      </c>
      <c r="C187" s="19"/>
      <c r="D187" s="19"/>
      <c r="E187" s="18" t="str">
        <f t="shared" si="1"/>
        <v/>
      </c>
      <c r="F187" s="19"/>
      <c r="G187" s="23"/>
      <c r="H187" s="19"/>
      <c r="I187" s="19"/>
      <c r="J187" s="19"/>
      <c r="K187" s="19"/>
      <c r="L187" s="30" t="str">
        <f>IFERROR(IF(K187="","",VLOOKUP(K187,Lists!$K$2:$O$61,5,FALSE)),"")</f>
        <v/>
      </c>
      <c r="M187" s="18" t="str">
        <f>IFERROR(IF(K187="","",VLOOKUP(K187,Lists!$K$2:$O$61,2,FALSE)),"")</f>
        <v/>
      </c>
      <c r="N187" s="18" t="str">
        <f>IFERROR(IF(K187="","",VLOOKUP(K187,Lists!$K$2:$O$61,3,FALSE)),"")</f>
        <v/>
      </c>
      <c r="O187" s="19"/>
      <c r="P187" s="31"/>
      <c r="Q187" s="32"/>
      <c r="R187" s="27"/>
    </row>
    <row r="188" ht="13.5" customHeight="1">
      <c r="A188" s="14"/>
      <c r="B188" s="18" t="str">
        <f>IF(A188="","",IFERROR(LOOKUP(A188,Lists!$U$2:$U$14,Lists!$T$2:$T$14),""))</f>
        <v/>
      </c>
      <c r="C188" s="19"/>
      <c r="D188" s="19"/>
      <c r="E188" s="18" t="str">
        <f t="shared" si="1"/>
        <v/>
      </c>
      <c r="F188" s="19"/>
      <c r="G188" s="23"/>
      <c r="H188" s="19"/>
      <c r="I188" s="19"/>
      <c r="J188" s="19"/>
      <c r="K188" s="19"/>
      <c r="L188" s="30" t="str">
        <f>IFERROR(IF(K188="","",VLOOKUP(K188,Lists!$K$2:$O$61,5,FALSE)),"")</f>
        <v/>
      </c>
      <c r="M188" s="18" t="str">
        <f>IFERROR(IF(K188="","",VLOOKUP(K188,Lists!$K$2:$O$61,2,FALSE)),"")</f>
        <v/>
      </c>
      <c r="N188" s="18" t="str">
        <f>IFERROR(IF(K188="","",VLOOKUP(K188,Lists!$K$2:$O$61,3,FALSE)),"")</f>
        <v/>
      </c>
      <c r="O188" s="19"/>
      <c r="P188" s="31"/>
      <c r="Q188" s="32"/>
      <c r="R188" s="27"/>
    </row>
    <row r="189" ht="13.5" customHeight="1">
      <c r="A189" s="14"/>
      <c r="B189" s="18" t="str">
        <f>IF(A189="","",IFERROR(LOOKUP(A189,Lists!$U$2:$U$14,Lists!$T$2:$T$14),""))</f>
        <v/>
      </c>
      <c r="C189" s="19"/>
      <c r="D189" s="19"/>
      <c r="E189" s="18" t="str">
        <f t="shared" si="1"/>
        <v/>
      </c>
      <c r="F189" s="19"/>
      <c r="G189" s="23"/>
      <c r="H189" s="19"/>
      <c r="I189" s="19"/>
      <c r="J189" s="19"/>
      <c r="K189" s="19"/>
      <c r="L189" s="30" t="str">
        <f>IFERROR(IF(K189="","",VLOOKUP(K189,Lists!$K$2:$O$61,5,FALSE)),"")</f>
        <v/>
      </c>
      <c r="M189" s="18" t="str">
        <f>IFERROR(IF(K189="","",VLOOKUP(K189,Lists!$K$2:$O$61,2,FALSE)),"")</f>
        <v/>
      </c>
      <c r="N189" s="18" t="str">
        <f>IFERROR(IF(K189="","",VLOOKUP(K189,Lists!$K$2:$O$61,3,FALSE)),"")</f>
        <v/>
      </c>
      <c r="O189" s="19"/>
      <c r="P189" s="31"/>
      <c r="Q189" s="32"/>
      <c r="R189" s="27"/>
    </row>
    <row r="190" ht="13.5" customHeight="1">
      <c r="A190" s="14"/>
      <c r="B190" s="18" t="str">
        <f>IF(A190="","",IFERROR(LOOKUP(A190,Lists!$U$2:$U$14,Lists!$T$2:$T$14),""))</f>
        <v/>
      </c>
      <c r="C190" s="19"/>
      <c r="D190" s="19"/>
      <c r="E190" s="18" t="str">
        <f t="shared" si="1"/>
        <v/>
      </c>
      <c r="F190" s="19"/>
      <c r="G190" s="23"/>
      <c r="H190" s="19"/>
      <c r="I190" s="19"/>
      <c r="J190" s="19"/>
      <c r="K190" s="19"/>
      <c r="L190" s="30" t="str">
        <f>IFERROR(IF(K190="","",VLOOKUP(K190,Lists!$K$2:$O$61,5,FALSE)),"")</f>
        <v/>
      </c>
      <c r="M190" s="18" t="str">
        <f>IFERROR(IF(K190="","",VLOOKUP(K190,Lists!$K$2:$O$61,2,FALSE)),"")</f>
        <v/>
      </c>
      <c r="N190" s="18" t="str">
        <f>IFERROR(IF(K190="","",VLOOKUP(K190,Lists!$K$2:$O$61,3,FALSE)),"")</f>
        <v/>
      </c>
      <c r="O190" s="19"/>
      <c r="P190" s="31"/>
      <c r="Q190" s="32"/>
      <c r="R190" s="27"/>
    </row>
    <row r="191" ht="13.5" customHeight="1">
      <c r="A191" s="14"/>
      <c r="B191" s="18" t="str">
        <f>IF(A191="","",IFERROR(LOOKUP(A191,Lists!$U$2:$U$14,Lists!$T$2:$T$14),""))</f>
        <v/>
      </c>
      <c r="C191" s="19"/>
      <c r="D191" s="19"/>
      <c r="E191" s="18" t="str">
        <f t="shared" si="1"/>
        <v/>
      </c>
      <c r="F191" s="19"/>
      <c r="G191" s="23"/>
      <c r="H191" s="19"/>
      <c r="I191" s="19"/>
      <c r="J191" s="19"/>
      <c r="K191" s="19"/>
      <c r="L191" s="30" t="str">
        <f>IFERROR(IF(K191="","",VLOOKUP(K191,Lists!$K$2:$O$61,5,FALSE)),"")</f>
        <v/>
      </c>
      <c r="M191" s="18" t="str">
        <f>IFERROR(IF(K191="","",VLOOKUP(K191,Lists!$K$2:$O$61,2,FALSE)),"")</f>
        <v/>
      </c>
      <c r="N191" s="18" t="str">
        <f>IFERROR(IF(K191="","",VLOOKUP(K191,Lists!$K$2:$O$61,3,FALSE)),"")</f>
        <v/>
      </c>
      <c r="O191" s="19"/>
      <c r="P191" s="31"/>
      <c r="Q191" s="32"/>
      <c r="R191" s="27"/>
    </row>
    <row r="192" ht="13.5" customHeight="1">
      <c r="A192" s="14"/>
      <c r="B192" s="18" t="str">
        <f>IF(A192="","",IFERROR(LOOKUP(A192,Lists!$U$2:$U$14,Lists!$T$2:$T$14),""))</f>
        <v/>
      </c>
      <c r="C192" s="19"/>
      <c r="D192" s="19"/>
      <c r="E192" s="18" t="str">
        <f t="shared" si="1"/>
        <v/>
      </c>
      <c r="F192" s="19"/>
      <c r="G192" s="23"/>
      <c r="H192" s="19"/>
      <c r="I192" s="19"/>
      <c r="J192" s="19"/>
      <c r="K192" s="19"/>
      <c r="L192" s="30" t="str">
        <f>IFERROR(IF(K192="","",VLOOKUP(K192,Lists!$K$2:$O$61,5,FALSE)),"")</f>
        <v/>
      </c>
      <c r="M192" s="18" t="str">
        <f>IFERROR(IF(K192="","",VLOOKUP(K192,Lists!$K$2:$O$61,2,FALSE)),"")</f>
        <v/>
      </c>
      <c r="N192" s="18" t="str">
        <f>IFERROR(IF(K192="","",VLOOKUP(K192,Lists!$K$2:$O$61,3,FALSE)),"")</f>
        <v/>
      </c>
      <c r="O192" s="19"/>
      <c r="P192" s="31"/>
      <c r="Q192" s="32"/>
      <c r="R192" s="27"/>
    </row>
    <row r="193" ht="13.5" customHeight="1">
      <c r="A193" s="14"/>
      <c r="B193" s="18" t="str">
        <f>IF(A193="","",IFERROR(LOOKUP(A193,Lists!$U$2:$U$14,Lists!$T$2:$T$14),""))</f>
        <v/>
      </c>
      <c r="C193" s="19"/>
      <c r="D193" s="19"/>
      <c r="E193" s="18" t="str">
        <f t="shared" si="1"/>
        <v/>
      </c>
      <c r="F193" s="19"/>
      <c r="G193" s="23"/>
      <c r="H193" s="19"/>
      <c r="I193" s="19"/>
      <c r="J193" s="19"/>
      <c r="K193" s="19"/>
      <c r="L193" s="30" t="str">
        <f>IFERROR(IF(K193="","",VLOOKUP(K193,Lists!$K$2:$O$61,5,FALSE)),"")</f>
        <v/>
      </c>
      <c r="M193" s="18" t="str">
        <f>IFERROR(IF(K193="","",VLOOKUP(K193,Lists!$K$2:$O$61,2,FALSE)),"")</f>
        <v/>
      </c>
      <c r="N193" s="18" t="str">
        <f>IFERROR(IF(K193="","",VLOOKUP(K193,Lists!$K$2:$O$61,3,FALSE)),"")</f>
        <v/>
      </c>
      <c r="O193" s="19"/>
      <c r="P193" s="31"/>
      <c r="Q193" s="32"/>
      <c r="R193" s="27"/>
    </row>
    <row r="194" ht="13.5" customHeight="1">
      <c r="A194" s="14"/>
      <c r="B194" s="18" t="str">
        <f>IF(A194="","",IFERROR(LOOKUP(A194,Lists!$U$2:$U$14,Lists!$T$2:$T$14),""))</f>
        <v/>
      </c>
      <c r="C194" s="19"/>
      <c r="D194" s="19"/>
      <c r="E194" s="18" t="str">
        <f t="shared" si="1"/>
        <v/>
      </c>
      <c r="F194" s="19"/>
      <c r="G194" s="23"/>
      <c r="H194" s="19"/>
      <c r="I194" s="19"/>
      <c r="J194" s="19"/>
      <c r="K194" s="19"/>
      <c r="L194" s="30" t="str">
        <f>IFERROR(IF(K194="","",VLOOKUP(K194,Lists!$K$2:$O$61,5,FALSE)),"")</f>
        <v/>
      </c>
      <c r="M194" s="18" t="str">
        <f>IFERROR(IF(K194="","",VLOOKUP(K194,Lists!$K$2:$O$61,2,FALSE)),"")</f>
        <v/>
      </c>
      <c r="N194" s="18" t="str">
        <f>IFERROR(IF(K194="","",VLOOKUP(K194,Lists!$K$2:$O$61,3,FALSE)),"")</f>
        <v/>
      </c>
      <c r="O194" s="19"/>
      <c r="P194" s="31"/>
      <c r="Q194" s="32"/>
      <c r="R194" s="27"/>
    </row>
    <row r="195" ht="13.5" customHeight="1">
      <c r="A195" s="14"/>
      <c r="B195" s="18" t="str">
        <f>IF(A195="","",IFERROR(LOOKUP(A195,Lists!$U$2:$U$14,Lists!$T$2:$T$14),""))</f>
        <v/>
      </c>
      <c r="C195" s="19"/>
      <c r="D195" s="19"/>
      <c r="E195" s="18" t="str">
        <f t="shared" si="1"/>
        <v/>
      </c>
      <c r="F195" s="19"/>
      <c r="G195" s="23"/>
      <c r="H195" s="19"/>
      <c r="I195" s="19"/>
      <c r="J195" s="19"/>
      <c r="K195" s="19"/>
      <c r="L195" s="30" t="str">
        <f>IFERROR(IF(K195="","",VLOOKUP(K195,Lists!$K$2:$O$61,5,FALSE)),"")</f>
        <v/>
      </c>
      <c r="M195" s="18" t="str">
        <f>IFERROR(IF(K195="","",VLOOKUP(K195,Lists!$K$2:$O$61,2,FALSE)),"")</f>
        <v/>
      </c>
      <c r="N195" s="18" t="str">
        <f>IFERROR(IF(K195="","",VLOOKUP(K195,Lists!$K$2:$O$61,3,FALSE)),"")</f>
        <v/>
      </c>
      <c r="O195" s="19"/>
      <c r="P195" s="31"/>
      <c r="Q195" s="32"/>
      <c r="R195" s="27"/>
    </row>
    <row r="196" ht="13.5" customHeight="1">
      <c r="A196" s="14"/>
      <c r="B196" s="18" t="str">
        <f>IF(A196="","",IFERROR(LOOKUP(A196,Lists!$U$2:$U$14,Lists!$T$2:$T$14),""))</f>
        <v/>
      </c>
      <c r="C196" s="19"/>
      <c r="D196" s="19"/>
      <c r="E196" s="18" t="str">
        <f t="shared" si="1"/>
        <v/>
      </c>
      <c r="F196" s="19"/>
      <c r="G196" s="23"/>
      <c r="H196" s="19"/>
      <c r="I196" s="19"/>
      <c r="J196" s="19"/>
      <c r="K196" s="19"/>
      <c r="L196" s="30" t="str">
        <f>IFERROR(IF(K196="","",VLOOKUP(K196,Lists!$K$2:$O$61,5,FALSE)),"")</f>
        <v/>
      </c>
      <c r="M196" s="18" t="str">
        <f>IFERROR(IF(K196="","",VLOOKUP(K196,Lists!$K$2:$O$61,2,FALSE)),"")</f>
        <v/>
      </c>
      <c r="N196" s="18" t="str">
        <f>IFERROR(IF(K196="","",VLOOKUP(K196,Lists!$K$2:$O$61,3,FALSE)),"")</f>
        <v/>
      </c>
      <c r="O196" s="19"/>
      <c r="P196" s="31"/>
      <c r="Q196" s="32"/>
      <c r="R196" s="27"/>
    </row>
    <row r="197" ht="13.5" customHeight="1">
      <c r="A197" s="14"/>
      <c r="B197" s="18" t="str">
        <f>IF(A197="","",IFERROR(LOOKUP(A197,Lists!$U$2:$U$14,Lists!$T$2:$T$14),""))</f>
        <v/>
      </c>
      <c r="C197" s="19"/>
      <c r="D197" s="19"/>
      <c r="E197" s="18" t="str">
        <f t="shared" si="1"/>
        <v/>
      </c>
      <c r="F197" s="19"/>
      <c r="G197" s="23"/>
      <c r="H197" s="19"/>
      <c r="I197" s="19"/>
      <c r="J197" s="19"/>
      <c r="K197" s="19"/>
      <c r="L197" s="30" t="str">
        <f>IFERROR(IF(K197="","",VLOOKUP(K197,Lists!$K$2:$O$61,5,FALSE)),"")</f>
        <v/>
      </c>
      <c r="M197" s="18" t="str">
        <f>IFERROR(IF(K197="","",VLOOKUP(K197,Lists!$K$2:$O$61,2,FALSE)),"")</f>
        <v/>
      </c>
      <c r="N197" s="18" t="str">
        <f>IFERROR(IF(K197="","",VLOOKUP(K197,Lists!$K$2:$O$61,3,FALSE)),"")</f>
        <v/>
      </c>
      <c r="O197" s="19"/>
      <c r="P197" s="31"/>
      <c r="Q197" s="32"/>
      <c r="R197" s="27"/>
    </row>
    <row r="198" ht="13.5" customHeight="1">
      <c r="A198" s="14"/>
      <c r="B198" s="18" t="str">
        <f>IF(A198="","",IFERROR(LOOKUP(A198,Lists!$U$2:$U$14,Lists!$T$2:$T$14),""))</f>
        <v/>
      </c>
      <c r="C198" s="19"/>
      <c r="D198" s="19"/>
      <c r="E198" s="18" t="str">
        <f t="shared" si="1"/>
        <v/>
      </c>
      <c r="F198" s="19"/>
      <c r="G198" s="23"/>
      <c r="H198" s="19"/>
      <c r="I198" s="19"/>
      <c r="J198" s="19"/>
      <c r="K198" s="19"/>
      <c r="L198" s="30" t="str">
        <f>IFERROR(IF(K198="","",VLOOKUP(K198,Lists!$K$2:$O$61,5,FALSE)),"")</f>
        <v/>
      </c>
      <c r="M198" s="18" t="str">
        <f>IFERROR(IF(K198="","",VLOOKUP(K198,Lists!$K$2:$O$61,2,FALSE)),"")</f>
        <v/>
      </c>
      <c r="N198" s="18" t="str">
        <f>IFERROR(IF(K198="","",VLOOKUP(K198,Lists!$K$2:$O$61,3,FALSE)),"")</f>
        <v/>
      </c>
      <c r="O198" s="19"/>
      <c r="P198" s="31"/>
      <c r="Q198" s="32"/>
      <c r="R198" s="27"/>
    </row>
    <row r="199" ht="13.5" customHeight="1">
      <c r="A199" s="14"/>
      <c r="B199" s="18" t="str">
        <f>IF(A199="","",IFERROR(LOOKUP(A199,Lists!$U$2:$U$14,Lists!$T$2:$T$14),""))</f>
        <v/>
      </c>
      <c r="C199" s="19"/>
      <c r="D199" s="19"/>
      <c r="E199" s="18" t="str">
        <f t="shared" si="1"/>
        <v/>
      </c>
      <c r="F199" s="19"/>
      <c r="G199" s="23"/>
      <c r="H199" s="19"/>
      <c r="I199" s="19"/>
      <c r="J199" s="19"/>
      <c r="K199" s="19"/>
      <c r="L199" s="30" t="str">
        <f>IFERROR(IF(K199="","",VLOOKUP(K199,Lists!$K$2:$O$61,5,FALSE)),"")</f>
        <v/>
      </c>
      <c r="M199" s="18" t="str">
        <f>IFERROR(IF(K199="","",VLOOKUP(K199,Lists!$K$2:$O$61,2,FALSE)),"")</f>
        <v/>
      </c>
      <c r="N199" s="18" t="str">
        <f>IFERROR(IF(K199="","",VLOOKUP(K199,Lists!$K$2:$O$61,3,FALSE)),"")</f>
        <v/>
      </c>
      <c r="O199" s="19"/>
      <c r="P199" s="31"/>
      <c r="Q199" s="32"/>
      <c r="R199" s="27"/>
    </row>
    <row r="200" ht="13.5" customHeight="1">
      <c r="A200" s="14"/>
      <c r="B200" s="18" t="str">
        <f>IF(A200="","",IFERROR(LOOKUP(A200,Lists!$U$2:$U$14,Lists!$T$2:$T$14),""))</f>
        <v/>
      </c>
      <c r="C200" s="19"/>
      <c r="D200" s="19"/>
      <c r="E200" s="18" t="str">
        <f t="shared" si="1"/>
        <v/>
      </c>
      <c r="F200" s="19"/>
      <c r="G200" s="23"/>
      <c r="H200" s="19"/>
      <c r="I200" s="19"/>
      <c r="J200" s="19"/>
      <c r="K200" s="19"/>
      <c r="L200" s="30" t="str">
        <f>IFERROR(IF(K200="","",VLOOKUP(K200,Lists!$K$2:$O$61,5,FALSE)),"")</f>
        <v/>
      </c>
      <c r="M200" s="18" t="str">
        <f>IFERROR(IF(K200="","",VLOOKUP(K200,Lists!$K$2:$O$61,2,FALSE)),"")</f>
        <v/>
      </c>
      <c r="N200" s="18" t="str">
        <f>IFERROR(IF(K200="","",VLOOKUP(K200,Lists!$K$2:$O$61,3,FALSE)),"")</f>
        <v/>
      </c>
      <c r="O200" s="19"/>
      <c r="P200" s="31"/>
      <c r="Q200" s="32"/>
      <c r="R200" s="27"/>
    </row>
    <row r="201" ht="13.5" customHeight="1">
      <c r="A201" s="14"/>
      <c r="B201" s="18" t="str">
        <f>IF(A201="","",IFERROR(LOOKUP(A201,Lists!$U$2:$U$14,Lists!$T$2:$T$14),""))</f>
        <v/>
      </c>
      <c r="C201" s="19"/>
      <c r="D201" s="19"/>
      <c r="E201" s="18" t="str">
        <f t="shared" si="1"/>
        <v/>
      </c>
      <c r="F201" s="19"/>
      <c r="G201" s="23"/>
      <c r="H201" s="19"/>
      <c r="I201" s="19"/>
      <c r="J201" s="19"/>
      <c r="K201" s="19"/>
      <c r="L201" s="30" t="str">
        <f>IFERROR(IF(K201="","",VLOOKUP(K201,Lists!$K$2:$O$61,5,FALSE)),"")</f>
        <v/>
      </c>
      <c r="M201" s="18" t="str">
        <f>IFERROR(IF(K201="","",VLOOKUP(K201,Lists!$K$2:$O$61,2,FALSE)),"")</f>
        <v/>
      </c>
      <c r="N201" s="18" t="str">
        <f>IFERROR(IF(K201="","",VLOOKUP(K201,Lists!$K$2:$O$61,3,FALSE)),"")</f>
        <v/>
      </c>
      <c r="O201" s="19"/>
      <c r="P201" s="31"/>
      <c r="Q201" s="32"/>
      <c r="R201" s="27"/>
    </row>
    <row r="202" ht="13.5" customHeight="1">
      <c r="A202" s="14"/>
      <c r="B202" s="18" t="str">
        <f>IF(A202="","",IFERROR(LOOKUP(A202,Lists!$U$2:$U$14,Lists!$T$2:$T$14),""))</f>
        <v/>
      </c>
      <c r="C202" s="19"/>
      <c r="D202" s="19"/>
      <c r="E202" s="18" t="str">
        <f t="shared" si="1"/>
        <v/>
      </c>
      <c r="F202" s="19"/>
      <c r="G202" s="23"/>
      <c r="H202" s="19"/>
      <c r="I202" s="19"/>
      <c r="J202" s="19"/>
      <c r="K202" s="19"/>
      <c r="L202" s="30" t="str">
        <f>IFERROR(IF(K202="","",VLOOKUP(K202,Lists!$K$2:$O$61,5,FALSE)),"")</f>
        <v/>
      </c>
      <c r="M202" s="18" t="str">
        <f>IFERROR(IF(K202="","",VLOOKUP(K202,Lists!$K$2:$O$61,2,FALSE)),"")</f>
        <v/>
      </c>
      <c r="N202" s="18" t="str">
        <f>IFERROR(IF(K202="","",VLOOKUP(K202,Lists!$K$2:$O$61,3,FALSE)),"")</f>
        <v/>
      </c>
      <c r="O202" s="19"/>
      <c r="P202" s="31"/>
      <c r="Q202" s="32"/>
      <c r="R202" s="27"/>
    </row>
    <row r="203" ht="13.5" customHeight="1">
      <c r="A203" s="14"/>
      <c r="B203" s="18" t="str">
        <f>IF(A203="","",IFERROR(LOOKUP(A203,Lists!$U$2:$U$14,Lists!$T$2:$T$14),""))</f>
        <v/>
      </c>
      <c r="C203" s="19"/>
      <c r="D203" s="19"/>
      <c r="E203" s="18" t="str">
        <f t="shared" si="1"/>
        <v/>
      </c>
      <c r="F203" s="19"/>
      <c r="G203" s="23"/>
      <c r="H203" s="19"/>
      <c r="I203" s="19"/>
      <c r="J203" s="19"/>
      <c r="K203" s="19"/>
      <c r="L203" s="30" t="str">
        <f>IFERROR(IF(K203="","",VLOOKUP(K203,Lists!$K$2:$O$61,5,FALSE)),"")</f>
        <v/>
      </c>
      <c r="M203" s="18" t="str">
        <f>IFERROR(IF(K203="","",VLOOKUP(K203,Lists!$K$2:$O$61,2,FALSE)),"")</f>
        <v/>
      </c>
      <c r="N203" s="18" t="str">
        <f>IFERROR(IF(K203="","",VLOOKUP(K203,Lists!$K$2:$O$61,3,FALSE)),"")</f>
        <v/>
      </c>
      <c r="O203" s="19"/>
      <c r="P203" s="31"/>
      <c r="Q203" s="32"/>
      <c r="R203" s="27"/>
    </row>
    <row r="204" ht="13.5" customHeight="1">
      <c r="A204" s="14"/>
      <c r="B204" s="18" t="str">
        <f>IF(A204="","",IFERROR(LOOKUP(A204,Lists!$U$2:$U$14,Lists!$T$2:$T$14),""))</f>
        <v/>
      </c>
      <c r="C204" s="19"/>
      <c r="D204" s="19"/>
      <c r="E204" s="18" t="str">
        <f t="shared" si="1"/>
        <v/>
      </c>
      <c r="F204" s="19"/>
      <c r="G204" s="23"/>
      <c r="H204" s="19"/>
      <c r="I204" s="19"/>
      <c r="J204" s="19"/>
      <c r="K204" s="19"/>
      <c r="L204" s="30" t="str">
        <f>IFERROR(IF(K204="","",VLOOKUP(K204,Lists!$K$2:$O$61,5,FALSE)),"")</f>
        <v/>
      </c>
      <c r="M204" s="18" t="str">
        <f>IFERROR(IF(K204="","",VLOOKUP(K204,Lists!$K$2:$O$61,2,FALSE)),"")</f>
        <v/>
      </c>
      <c r="N204" s="18" t="str">
        <f>IFERROR(IF(K204="","",VLOOKUP(K204,Lists!$K$2:$O$61,3,FALSE)),"")</f>
        <v/>
      </c>
      <c r="O204" s="19"/>
      <c r="P204" s="31"/>
      <c r="Q204" s="32"/>
      <c r="R204" s="27"/>
    </row>
    <row r="205" ht="13.5" customHeight="1">
      <c r="A205" s="14"/>
      <c r="B205" s="18" t="str">
        <f>IF(A205="","",IFERROR(LOOKUP(A205,Lists!$U$2:$U$14,Lists!$T$2:$T$14),""))</f>
        <v/>
      </c>
      <c r="C205" s="19"/>
      <c r="D205" s="19"/>
      <c r="E205" s="18" t="str">
        <f t="shared" si="1"/>
        <v/>
      </c>
      <c r="F205" s="19"/>
      <c r="G205" s="23"/>
      <c r="H205" s="19"/>
      <c r="I205" s="19"/>
      <c r="J205" s="19"/>
      <c r="K205" s="19"/>
      <c r="L205" s="30" t="str">
        <f>IFERROR(IF(K205="","",VLOOKUP(K205,Lists!$K$2:$O$61,5,FALSE)),"")</f>
        <v/>
      </c>
      <c r="M205" s="18" t="str">
        <f>IFERROR(IF(K205="","",VLOOKUP(K205,Lists!$K$2:$O$61,2,FALSE)),"")</f>
        <v/>
      </c>
      <c r="N205" s="18" t="str">
        <f>IFERROR(IF(K205="","",VLOOKUP(K205,Lists!$K$2:$O$61,3,FALSE)),"")</f>
        <v/>
      </c>
      <c r="O205" s="19"/>
      <c r="P205" s="31"/>
      <c r="Q205" s="32"/>
      <c r="R205" s="27"/>
    </row>
    <row r="206" ht="13.5" customHeight="1">
      <c r="A206" s="14"/>
      <c r="B206" s="18" t="str">
        <f>IF(A206="","",IFERROR(LOOKUP(A206,Lists!$U$2:$U$14,Lists!$T$2:$T$14),""))</f>
        <v/>
      </c>
      <c r="C206" s="19"/>
      <c r="D206" s="19"/>
      <c r="E206" s="18" t="str">
        <f t="shared" si="1"/>
        <v/>
      </c>
      <c r="F206" s="19"/>
      <c r="G206" s="23"/>
      <c r="H206" s="19"/>
      <c r="I206" s="19"/>
      <c r="J206" s="19"/>
      <c r="K206" s="19"/>
      <c r="L206" s="30" t="str">
        <f>IFERROR(IF(K206="","",VLOOKUP(K206,Lists!$K$2:$O$61,5,FALSE)),"")</f>
        <v/>
      </c>
      <c r="M206" s="18" t="str">
        <f>IFERROR(IF(K206="","",VLOOKUP(K206,Lists!$K$2:$O$61,2,FALSE)),"")</f>
        <v/>
      </c>
      <c r="N206" s="18" t="str">
        <f>IFERROR(IF(K206="","",VLOOKUP(K206,Lists!$K$2:$O$61,3,FALSE)),"")</f>
        <v/>
      </c>
      <c r="O206" s="19"/>
      <c r="P206" s="31"/>
      <c r="Q206" s="32"/>
      <c r="R206" s="27"/>
    </row>
    <row r="207" ht="13.5" customHeight="1">
      <c r="A207" s="14"/>
      <c r="B207" s="18" t="str">
        <f>IF(A207="","",IFERROR(LOOKUP(A207,Lists!$U$2:$U$14,Lists!$T$2:$T$14),""))</f>
        <v/>
      </c>
      <c r="C207" s="19"/>
      <c r="D207" s="19"/>
      <c r="E207" s="18" t="str">
        <f t="shared" si="1"/>
        <v/>
      </c>
      <c r="F207" s="19"/>
      <c r="G207" s="23"/>
      <c r="H207" s="19"/>
      <c r="I207" s="19"/>
      <c r="J207" s="19"/>
      <c r="K207" s="19"/>
      <c r="L207" s="30" t="str">
        <f>IFERROR(IF(K207="","",VLOOKUP(K207,Lists!$K$2:$O$61,5,FALSE)),"")</f>
        <v/>
      </c>
      <c r="M207" s="18" t="str">
        <f>IFERROR(IF(K207="","",VLOOKUP(K207,Lists!$K$2:$O$61,2,FALSE)),"")</f>
        <v/>
      </c>
      <c r="N207" s="18" t="str">
        <f>IFERROR(IF(K207="","",VLOOKUP(K207,Lists!$K$2:$O$61,3,FALSE)),"")</f>
        <v/>
      </c>
      <c r="O207" s="19"/>
      <c r="P207" s="31"/>
      <c r="Q207" s="32"/>
      <c r="R207" s="27"/>
    </row>
    <row r="208" ht="13.5" customHeight="1">
      <c r="A208" s="14"/>
      <c r="B208" s="18" t="str">
        <f>IF(A208="","",IFERROR(LOOKUP(A208,Lists!$U$2:$U$14,Lists!$T$2:$T$14),""))</f>
        <v/>
      </c>
      <c r="C208" s="19"/>
      <c r="D208" s="19"/>
      <c r="E208" s="18" t="str">
        <f t="shared" si="1"/>
        <v/>
      </c>
      <c r="F208" s="19"/>
      <c r="G208" s="23"/>
      <c r="H208" s="19"/>
      <c r="I208" s="19"/>
      <c r="J208" s="19"/>
      <c r="K208" s="19"/>
      <c r="L208" s="30" t="str">
        <f>IFERROR(IF(K208="","",VLOOKUP(K208,Lists!$K$2:$O$61,5,FALSE)),"")</f>
        <v/>
      </c>
      <c r="M208" s="18" t="str">
        <f>IFERROR(IF(K208="","",VLOOKUP(K208,Lists!$K$2:$O$61,2,FALSE)),"")</f>
        <v/>
      </c>
      <c r="N208" s="18" t="str">
        <f>IFERROR(IF(K208="","",VLOOKUP(K208,Lists!$K$2:$O$61,3,FALSE)),"")</f>
        <v/>
      </c>
      <c r="O208" s="19"/>
      <c r="P208" s="31"/>
      <c r="Q208" s="32"/>
      <c r="R208" s="27"/>
    </row>
    <row r="209" ht="13.5" customHeight="1">
      <c r="A209" s="14"/>
      <c r="B209" s="18" t="str">
        <f>IF(A209="","",IFERROR(LOOKUP(A209,Lists!$U$2:$U$14,Lists!$T$2:$T$14),""))</f>
        <v/>
      </c>
      <c r="C209" s="19"/>
      <c r="D209" s="19"/>
      <c r="E209" s="18" t="str">
        <f t="shared" si="1"/>
        <v/>
      </c>
      <c r="F209" s="19"/>
      <c r="G209" s="23"/>
      <c r="H209" s="19"/>
      <c r="I209" s="19"/>
      <c r="J209" s="19"/>
      <c r="K209" s="19"/>
      <c r="L209" s="30" t="str">
        <f>IFERROR(IF(K209="","",VLOOKUP(K209,Lists!$K$2:$O$61,5,FALSE)),"")</f>
        <v/>
      </c>
      <c r="M209" s="18" t="str">
        <f>IFERROR(IF(K209="","",VLOOKUP(K209,Lists!$K$2:$O$61,2,FALSE)),"")</f>
        <v/>
      </c>
      <c r="N209" s="18" t="str">
        <f>IFERROR(IF(K209="","",VLOOKUP(K209,Lists!$K$2:$O$61,3,FALSE)),"")</f>
        <v/>
      </c>
      <c r="O209" s="19"/>
      <c r="P209" s="31"/>
      <c r="Q209" s="32"/>
      <c r="R209" s="27"/>
    </row>
    <row r="210" ht="13.5" customHeight="1">
      <c r="A210" s="14"/>
      <c r="B210" s="18" t="str">
        <f>IF(A210="","",IFERROR(LOOKUP(A210,Lists!$U$2:$U$14,Lists!$T$2:$T$14),""))</f>
        <v/>
      </c>
      <c r="C210" s="19"/>
      <c r="D210" s="19"/>
      <c r="E210" s="18" t="str">
        <f t="shared" si="1"/>
        <v/>
      </c>
      <c r="F210" s="19"/>
      <c r="G210" s="23"/>
      <c r="H210" s="19"/>
      <c r="I210" s="19"/>
      <c r="J210" s="19"/>
      <c r="K210" s="19"/>
      <c r="L210" s="30" t="str">
        <f>IFERROR(IF(K210="","",VLOOKUP(K210,Lists!$K$2:$O$61,5,FALSE)),"")</f>
        <v/>
      </c>
      <c r="M210" s="18" t="str">
        <f>IFERROR(IF(K210="","",VLOOKUP(K210,Lists!$K$2:$O$61,2,FALSE)),"")</f>
        <v/>
      </c>
      <c r="N210" s="18" t="str">
        <f>IFERROR(IF(K210="","",VLOOKUP(K210,Lists!$K$2:$O$61,3,FALSE)),"")</f>
        <v/>
      </c>
      <c r="O210" s="19"/>
      <c r="P210" s="31"/>
      <c r="Q210" s="32"/>
      <c r="R210" s="27"/>
    </row>
    <row r="211" ht="13.5" customHeight="1">
      <c r="A211" s="14"/>
      <c r="B211" s="18" t="str">
        <f>IF(A211="","",IFERROR(LOOKUP(A211,Lists!$U$2:$U$14,Lists!$T$2:$T$14),""))</f>
        <v/>
      </c>
      <c r="C211" s="19"/>
      <c r="D211" s="19"/>
      <c r="E211" s="18" t="str">
        <f t="shared" si="1"/>
        <v/>
      </c>
      <c r="F211" s="19"/>
      <c r="G211" s="23"/>
      <c r="H211" s="19"/>
      <c r="I211" s="19"/>
      <c r="J211" s="19"/>
      <c r="K211" s="19"/>
      <c r="L211" s="30" t="str">
        <f>IFERROR(IF(K211="","",VLOOKUP(K211,Lists!$K$2:$O$61,5,FALSE)),"")</f>
        <v/>
      </c>
      <c r="M211" s="18" t="str">
        <f>IFERROR(IF(K211="","",VLOOKUP(K211,Lists!$K$2:$O$61,2,FALSE)),"")</f>
        <v/>
      </c>
      <c r="N211" s="18" t="str">
        <f>IFERROR(IF(K211="","",VLOOKUP(K211,Lists!$K$2:$O$61,3,FALSE)),"")</f>
        <v/>
      </c>
      <c r="O211" s="19"/>
      <c r="P211" s="31"/>
      <c r="Q211" s="32"/>
      <c r="R211" s="27"/>
    </row>
    <row r="212" ht="13.5" customHeight="1">
      <c r="A212" s="14"/>
      <c r="B212" s="18" t="str">
        <f>IF(A212="","",IFERROR(LOOKUP(A212,Lists!$U$2:$U$14,Lists!$T$2:$T$14),""))</f>
        <v/>
      </c>
      <c r="C212" s="19"/>
      <c r="D212" s="19"/>
      <c r="E212" s="18" t="str">
        <f t="shared" si="1"/>
        <v/>
      </c>
      <c r="F212" s="19"/>
      <c r="G212" s="23"/>
      <c r="H212" s="19"/>
      <c r="I212" s="19"/>
      <c r="J212" s="19"/>
      <c r="K212" s="19"/>
      <c r="L212" s="30" t="str">
        <f>IFERROR(IF(K212="","",VLOOKUP(K212,Lists!$K$2:$O$61,5,FALSE)),"")</f>
        <v/>
      </c>
      <c r="M212" s="18" t="str">
        <f>IFERROR(IF(K212="","",VLOOKUP(K212,Lists!$K$2:$O$61,2,FALSE)),"")</f>
        <v/>
      </c>
      <c r="N212" s="18" t="str">
        <f>IFERROR(IF(K212="","",VLOOKUP(K212,Lists!$K$2:$O$61,3,FALSE)),"")</f>
        <v/>
      </c>
      <c r="O212" s="19"/>
      <c r="P212" s="31"/>
      <c r="Q212" s="32"/>
      <c r="R212" s="27"/>
    </row>
    <row r="213" ht="13.5" customHeight="1">
      <c r="A213" s="14"/>
      <c r="B213" s="18" t="str">
        <f>IF(A213="","",IFERROR(LOOKUP(A213,Lists!$U$2:$U$14,Lists!$T$2:$T$14),""))</f>
        <v/>
      </c>
      <c r="C213" s="19"/>
      <c r="D213" s="19"/>
      <c r="E213" s="18" t="str">
        <f t="shared" si="1"/>
        <v/>
      </c>
      <c r="F213" s="19"/>
      <c r="G213" s="23"/>
      <c r="H213" s="19"/>
      <c r="I213" s="19"/>
      <c r="J213" s="19"/>
      <c r="K213" s="19"/>
      <c r="L213" s="30" t="str">
        <f>IFERROR(IF(K213="","",VLOOKUP(K213,Lists!$K$2:$O$61,5,FALSE)),"")</f>
        <v/>
      </c>
      <c r="M213" s="18" t="str">
        <f>IFERROR(IF(K213="","",VLOOKUP(K213,Lists!$K$2:$O$61,2,FALSE)),"")</f>
        <v/>
      </c>
      <c r="N213" s="18" t="str">
        <f>IFERROR(IF(K213="","",VLOOKUP(K213,Lists!$K$2:$O$61,3,FALSE)),"")</f>
        <v/>
      </c>
      <c r="O213" s="19"/>
      <c r="P213" s="31"/>
      <c r="Q213" s="32"/>
      <c r="R213" s="27"/>
    </row>
    <row r="214" ht="13.5" customHeight="1">
      <c r="A214" s="14"/>
      <c r="B214" s="18" t="str">
        <f>IF(A214="","",IFERROR(LOOKUP(A214,Lists!$U$2:$U$14,Lists!$T$2:$T$14),""))</f>
        <v/>
      </c>
      <c r="C214" s="19"/>
      <c r="D214" s="19"/>
      <c r="E214" s="18" t="str">
        <f t="shared" si="1"/>
        <v/>
      </c>
      <c r="F214" s="19"/>
      <c r="G214" s="23"/>
      <c r="H214" s="19"/>
      <c r="I214" s="19"/>
      <c r="J214" s="19"/>
      <c r="K214" s="19"/>
      <c r="L214" s="30" t="str">
        <f>IFERROR(IF(K214="","",VLOOKUP(K214,Lists!$K$2:$O$61,5,FALSE)),"")</f>
        <v/>
      </c>
      <c r="M214" s="18" t="str">
        <f>IFERROR(IF(K214="","",VLOOKUP(K214,Lists!$K$2:$O$61,2,FALSE)),"")</f>
        <v/>
      </c>
      <c r="N214" s="18" t="str">
        <f>IFERROR(IF(K214="","",VLOOKUP(K214,Lists!$K$2:$O$61,3,FALSE)),"")</f>
        <v/>
      </c>
      <c r="O214" s="19"/>
      <c r="P214" s="31"/>
      <c r="Q214" s="32"/>
      <c r="R214" s="27"/>
    </row>
    <row r="215" ht="13.5" customHeight="1">
      <c r="A215" s="14"/>
      <c r="B215" s="18" t="str">
        <f>IF(A215="","",IFERROR(LOOKUP(A215,Lists!$U$2:$U$14,Lists!$T$2:$T$14),""))</f>
        <v/>
      </c>
      <c r="C215" s="19"/>
      <c r="D215" s="19"/>
      <c r="E215" s="18" t="str">
        <f t="shared" si="1"/>
        <v/>
      </c>
      <c r="F215" s="19"/>
      <c r="G215" s="23"/>
      <c r="H215" s="19"/>
      <c r="I215" s="19"/>
      <c r="J215" s="19"/>
      <c r="K215" s="19"/>
      <c r="L215" s="30" t="str">
        <f>IFERROR(IF(K215="","",VLOOKUP(K215,Lists!$K$2:$O$61,5,FALSE)),"")</f>
        <v/>
      </c>
      <c r="M215" s="18" t="str">
        <f>IFERROR(IF(K215="","",VLOOKUP(K215,Lists!$K$2:$O$61,2,FALSE)),"")</f>
        <v/>
      </c>
      <c r="N215" s="18" t="str">
        <f>IFERROR(IF(K215="","",VLOOKUP(K215,Lists!$K$2:$O$61,3,FALSE)),"")</f>
        <v/>
      </c>
      <c r="O215" s="19"/>
      <c r="P215" s="31"/>
      <c r="Q215" s="32"/>
      <c r="R215" s="27"/>
    </row>
    <row r="216" ht="13.5" customHeight="1">
      <c r="A216" s="14"/>
      <c r="B216" s="18" t="str">
        <f>IF(A216="","",IFERROR(LOOKUP(A216,Lists!$U$2:$U$14,Lists!$T$2:$T$14),""))</f>
        <v/>
      </c>
      <c r="C216" s="19"/>
      <c r="D216" s="19"/>
      <c r="E216" s="18" t="str">
        <f t="shared" si="1"/>
        <v/>
      </c>
      <c r="F216" s="19"/>
      <c r="G216" s="23"/>
      <c r="H216" s="19"/>
      <c r="I216" s="19"/>
      <c r="J216" s="19"/>
      <c r="K216" s="19"/>
      <c r="L216" s="30" t="str">
        <f>IFERROR(IF(K216="","",VLOOKUP(K216,Lists!$K$2:$O$61,5,FALSE)),"")</f>
        <v/>
      </c>
      <c r="M216" s="18" t="str">
        <f>IFERROR(IF(K216="","",VLOOKUP(K216,Lists!$K$2:$O$61,2,FALSE)),"")</f>
        <v/>
      </c>
      <c r="N216" s="18" t="str">
        <f>IFERROR(IF(K216="","",VLOOKUP(K216,Lists!$K$2:$O$61,3,FALSE)),"")</f>
        <v/>
      </c>
      <c r="O216" s="19"/>
      <c r="P216" s="31"/>
      <c r="Q216" s="32"/>
      <c r="R216" s="27"/>
    </row>
    <row r="217" ht="13.5" customHeight="1">
      <c r="A217" s="14"/>
      <c r="B217" s="18" t="str">
        <f>IF(A217="","",IFERROR(LOOKUP(A217,Lists!$U$2:$U$14,Lists!$T$2:$T$14),""))</f>
        <v/>
      </c>
      <c r="C217" s="19"/>
      <c r="D217" s="19"/>
      <c r="E217" s="18" t="str">
        <f t="shared" si="1"/>
        <v/>
      </c>
      <c r="F217" s="19"/>
      <c r="G217" s="23"/>
      <c r="H217" s="19"/>
      <c r="I217" s="19"/>
      <c r="J217" s="19"/>
      <c r="K217" s="19"/>
      <c r="L217" s="30" t="str">
        <f>IFERROR(IF(K217="","",VLOOKUP(K217,Lists!$K$2:$O$61,5,FALSE)),"")</f>
        <v/>
      </c>
      <c r="M217" s="18" t="str">
        <f>IFERROR(IF(K217="","",VLOOKUP(K217,Lists!$K$2:$O$61,2,FALSE)),"")</f>
        <v/>
      </c>
      <c r="N217" s="18" t="str">
        <f>IFERROR(IF(K217="","",VLOOKUP(K217,Lists!$K$2:$O$61,3,FALSE)),"")</f>
        <v/>
      </c>
      <c r="O217" s="19"/>
      <c r="P217" s="31"/>
      <c r="Q217" s="32"/>
      <c r="R217" s="27"/>
    </row>
    <row r="218" ht="13.5" customHeight="1">
      <c r="A218" s="14"/>
      <c r="B218" s="18" t="str">
        <f>IF(A218="","",IFERROR(LOOKUP(A218,Lists!$U$2:$U$14,Lists!$T$2:$T$14),""))</f>
        <v/>
      </c>
      <c r="C218" s="19"/>
      <c r="D218" s="19"/>
      <c r="E218" s="18" t="str">
        <f t="shared" si="1"/>
        <v/>
      </c>
      <c r="F218" s="19"/>
      <c r="G218" s="23"/>
      <c r="H218" s="19"/>
      <c r="I218" s="19"/>
      <c r="J218" s="19"/>
      <c r="K218" s="19"/>
      <c r="L218" s="30" t="str">
        <f>IFERROR(IF(K218="","",VLOOKUP(K218,Lists!$K$2:$O$61,5,FALSE)),"")</f>
        <v/>
      </c>
      <c r="M218" s="18" t="str">
        <f>IFERROR(IF(K218="","",VLOOKUP(K218,Lists!$K$2:$O$61,2,FALSE)),"")</f>
        <v/>
      </c>
      <c r="N218" s="18" t="str">
        <f>IFERROR(IF(K218="","",VLOOKUP(K218,Lists!$K$2:$O$61,3,FALSE)),"")</f>
        <v/>
      </c>
      <c r="O218" s="19"/>
      <c r="P218" s="31"/>
      <c r="Q218" s="32"/>
      <c r="R218" s="27"/>
    </row>
    <row r="219" ht="13.5" customHeight="1">
      <c r="A219" s="14"/>
      <c r="B219" s="18" t="str">
        <f>IF(A219="","",IFERROR(LOOKUP(A219,Lists!$U$2:$U$14,Lists!$T$2:$T$14),""))</f>
        <v/>
      </c>
      <c r="C219" s="19"/>
      <c r="D219" s="19"/>
      <c r="E219" s="18" t="str">
        <f t="shared" si="1"/>
        <v/>
      </c>
      <c r="F219" s="19"/>
      <c r="G219" s="23"/>
      <c r="H219" s="19"/>
      <c r="I219" s="19"/>
      <c r="J219" s="19"/>
      <c r="K219" s="19"/>
      <c r="L219" s="30" t="str">
        <f>IFERROR(IF(K219="","",VLOOKUP(K219,Lists!$K$2:$O$61,5,FALSE)),"")</f>
        <v/>
      </c>
      <c r="M219" s="18" t="str">
        <f>IFERROR(IF(K219="","",VLOOKUP(K219,Lists!$K$2:$O$61,2,FALSE)),"")</f>
        <v/>
      </c>
      <c r="N219" s="18" t="str">
        <f>IFERROR(IF(K219="","",VLOOKUP(K219,Lists!$K$2:$O$61,3,FALSE)),"")</f>
        <v/>
      </c>
      <c r="O219" s="19"/>
      <c r="P219" s="31"/>
      <c r="Q219" s="32"/>
      <c r="R219" s="27"/>
    </row>
    <row r="220" ht="13.5" customHeight="1">
      <c r="A220" s="14"/>
      <c r="B220" s="18" t="str">
        <f>IF(A220="","",IFERROR(LOOKUP(A220,Lists!$U$2:$U$14,Lists!$T$2:$T$14),""))</f>
        <v/>
      </c>
      <c r="C220" s="19"/>
      <c r="D220" s="19"/>
      <c r="E220" s="18" t="str">
        <f t="shared" si="1"/>
        <v/>
      </c>
      <c r="F220" s="19"/>
      <c r="G220" s="23"/>
      <c r="H220" s="19"/>
      <c r="I220" s="19"/>
      <c r="J220" s="19"/>
      <c r="K220" s="19"/>
      <c r="L220" s="30" t="str">
        <f>IFERROR(IF(K220="","",VLOOKUP(K220,Lists!$K$2:$O$61,5,FALSE)),"")</f>
        <v/>
      </c>
      <c r="M220" s="18" t="str">
        <f>IFERROR(IF(K220="","",VLOOKUP(K220,Lists!$K$2:$O$61,2,FALSE)),"")</f>
        <v/>
      </c>
      <c r="N220" s="18" t="str">
        <f>IFERROR(IF(K220="","",VLOOKUP(K220,Lists!$K$2:$O$61,3,FALSE)),"")</f>
        <v/>
      </c>
      <c r="O220" s="19"/>
      <c r="P220" s="31"/>
      <c r="Q220" s="32"/>
      <c r="R220" s="27"/>
    </row>
    <row r="221" ht="13.5" customHeight="1">
      <c r="A221" s="14"/>
      <c r="B221" s="18" t="str">
        <f>IF(A221="","",IFERROR(LOOKUP(A221,Lists!$U$2:$U$14,Lists!$T$2:$T$14),""))</f>
        <v/>
      </c>
      <c r="C221" s="19"/>
      <c r="D221" s="19"/>
      <c r="E221" s="18" t="str">
        <f t="shared" si="1"/>
        <v/>
      </c>
      <c r="F221" s="19"/>
      <c r="G221" s="23"/>
      <c r="H221" s="19"/>
      <c r="I221" s="19"/>
      <c r="J221" s="19"/>
      <c r="K221" s="19"/>
      <c r="L221" s="30" t="str">
        <f>IFERROR(IF(K221="","",VLOOKUP(K221,Lists!$K$2:$O$61,5,FALSE)),"")</f>
        <v/>
      </c>
      <c r="M221" s="18" t="str">
        <f>IFERROR(IF(K221="","",VLOOKUP(K221,Lists!$K$2:$O$61,2,FALSE)),"")</f>
        <v/>
      </c>
      <c r="N221" s="18" t="str">
        <f>IFERROR(IF(K221="","",VLOOKUP(K221,Lists!$K$2:$O$61,3,FALSE)),"")</f>
        <v/>
      </c>
      <c r="O221" s="19"/>
      <c r="P221" s="31"/>
      <c r="Q221" s="32"/>
      <c r="R221" s="27"/>
    </row>
    <row r="222" ht="13.5" customHeight="1">
      <c r="A222" s="14"/>
      <c r="B222" s="18" t="str">
        <f>IF(A222="","",IFERROR(LOOKUP(A222,Lists!$U$2:$U$14,Lists!$T$2:$T$14),""))</f>
        <v/>
      </c>
      <c r="C222" s="19"/>
      <c r="D222" s="19"/>
      <c r="E222" s="18" t="str">
        <f t="shared" si="1"/>
        <v/>
      </c>
      <c r="F222" s="19"/>
      <c r="G222" s="23"/>
      <c r="H222" s="19"/>
      <c r="I222" s="19"/>
      <c r="J222" s="19"/>
      <c r="K222" s="19"/>
      <c r="L222" s="30" t="str">
        <f>IFERROR(IF(K222="","",VLOOKUP(K222,Lists!$K$2:$O$61,5,FALSE)),"")</f>
        <v/>
      </c>
      <c r="M222" s="18" t="str">
        <f>IFERROR(IF(K222="","",VLOOKUP(K222,Lists!$K$2:$O$61,2,FALSE)),"")</f>
        <v/>
      </c>
      <c r="N222" s="18" t="str">
        <f>IFERROR(IF(K222="","",VLOOKUP(K222,Lists!$K$2:$O$61,3,FALSE)),"")</f>
        <v/>
      </c>
      <c r="O222" s="19"/>
      <c r="P222" s="31"/>
      <c r="Q222" s="32"/>
      <c r="R222" s="27"/>
    </row>
    <row r="223" ht="13.5" customHeight="1">
      <c r="A223" s="14"/>
      <c r="B223" s="18" t="str">
        <f>IF(A223="","",IFERROR(LOOKUP(A223,Lists!$U$2:$U$14,Lists!$T$2:$T$14),""))</f>
        <v/>
      </c>
      <c r="C223" s="19"/>
      <c r="D223" s="19"/>
      <c r="E223" s="18" t="str">
        <f t="shared" si="1"/>
        <v/>
      </c>
      <c r="F223" s="19"/>
      <c r="G223" s="23"/>
      <c r="H223" s="19"/>
      <c r="I223" s="19"/>
      <c r="J223" s="19"/>
      <c r="K223" s="19"/>
      <c r="L223" s="30" t="str">
        <f>IFERROR(IF(K223="","",VLOOKUP(K223,Lists!$K$2:$O$61,5,FALSE)),"")</f>
        <v/>
      </c>
      <c r="M223" s="18" t="str">
        <f>IFERROR(IF(K223="","",VLOOKUP(K223,Lists!$K$2:$O$61,2,FALSE)),"")</f>
        <v/>
      </c>
      <c r="N223" s="18" t="str">
        <f>IFERROR(IF(K223="","",VLOOKUP(K223,Lists!$K$2:$O$61,3,FALSE)),"")</f>
        <v/>
      </c>
      <c r="O223" s="19"/>
      <c r="P223" s="31"/>
      <c r="Q223" s="32"/>
      <c r="R223" s="27"/>
    </row>
    <row r="224" ht="13.5" customHeight="1">
      <c r="A224" s="14"/>
      <c r="B224" s="18" t="str">
        <f>IF(A224="","",IFERROR(LOOKUP(A224,Lists!$U$2:$U$14,Lists!$T$2:$T$14),""))</f>
        <v/>
      </c>
      <c r="C224" s="19"/>
      <c r="D224" s="19"/>
      <c r="E224" s="18" t="str">
        <f t="shared" si="1"/>
        <v/>
      </c>
      <c r="F224" s="19"/>
      <c r="G224" s="23"/>
      <c r="H224" s="19"/>
      <c r="I224" s="19"/>
      <c r="J224" s="19"/>
      <c r="K224" s="19"/>
      <c r="L224" s="30" t="str">
        <f>IFERROR(IF(K224="","",VLOOKUP(K224,Lists!$K$2:$O$61,5,FALSE)),"")</f>
        <v/>
      </c>
      <c r="M224" s="18" t="str">
        <f>IFERROR(IF(K224="","",VLOOKUP(K224,Lists!$K$2:$O$61,2,FALSE)),"")</f>
        <v/>
      </c>
      <c r="N224" s="18" t="str">
        <f>IFERROR(IF(K224="","",VLOOKUP(K224,Lists!$K$2:$O$61,3,FALSE)),"")</f>
        <v/>
      </c>
      <c r="O224" s="19"/>
      <c r="P224" s="31"/>
      <c r="Q224" s="32"/>
      <c r="R224" s="27"/>
    </row>
    <row r="225" ht="13.5" customHeight="1">
      <c r="A225" s="14"/>
      <c r="B225" s="18" t="str">
        <f>IF(A225="","",IFERROR(LOOKUP(A225,Lists!$U$2:$U$14,Lists!$T$2:$T$14),""))</f>
        <v/>
      </c>
      <c r="C225" s="19"/>
      <c r="D225" s="19"/>
      <c r="E225" s="18" t="str">
        <f t="shared" si="1"/>
        <v/>
      </c>
      <c r="F225" s="19"/>
      <c r="G225" s="23"/>
      <c r="H225" s="19"/>
      <c r="I225" s="19"/>
      <c r="J225" s="19"/>
      <c r="K225" s="19"/>
      <c r="L225" s="30" t="str">
        <f>IFERROR(IF(K225="","",VLOOKUP(K225,Lists!$K$2:$O$61,5,FALSE)),"")</f>
        <v/>
      </c>
      <c r="M225" s="18" t="str">
        <f>IFERROR(IF(K225="","",VLOOKUP(K225,Lists!$K$2:$O$61,2,FALSE)),"")</f>
        <v/>
      </c>
      <c r="N225" s="18" t="str">
        <f>IFERROR(IF(K225="","",VLOOKUP(K225,Lists!$K$2:$O$61,3,FALSE)),"")</f>
        <v/>
      </c>
      <c r="O225" s="19"/>
      <c r="P225" s="31"/>
      <c r="Q225" s="32"/>
      <c r="R225" s="27"/>
    </row>
    <row r="226" ht="13.5" customHeight="1">
      <c r="A226" s="14"/>
      <c r="B226" s="18" t="str">
        <f>IF(A226="","",IFERROR(LOOKUP(A226,Lists!$U$2:$U$14,Lists!$T$2:$T$14),""))</f>
        <v/>
      </c>
      <c r="C226" s="19"/>
      <c r="D226" s="19"/>
      <c r="E226" s="18" t="str">
        <f t="shared" si="1"/>
        <v/>
      </c>
      <c r="F226" s="19"/>
      <c r="G226" s="23"/>
      <c r="H226" s="19"/>
      <c r="I226" s="19"/>
      <c r="J226" s="19"/>
      <c r="K226" s="19"/>
      <c r="L226" s="30" t="str">
        <f>IFERROR(IF(K226="","",VLOOKUP(K226,Lists!$K$2:$O$61,5,FALSE)),"")</f>
        <v/>
      </c>
      <c r="M226" s="18" t="str">
        <f>IFERROR(IF(K226="","",VLOOKUP(K226,Lists!$K$2:$O$61,2,FALSE)),"")</f>
        <v/>
      </c>
      <c r="N226" s="18" t="str">
        <f>IFERROR(IF(K226="","",VLOOKUP(K226,Lists!$K$2:$O$61,3,FALSE)),"")</f>
        <v/>
      </c>
      <c r="O226" s="19"/>
      <c r="P226" s="31"/>
      <c r="Q226" s="32"/>
      <c r="R226" s="27"/>
    </row>
    <row r="227" ht="13.5" customHeight="1">
      <c r="A227" s="14"/>
      <c r="B227" s="18" t="str">
        <f>IF(A227="","",IFERROR(LOOKUP(A227,Lists!$U$2:$U$14,Lists!$T$2:$T$14),""))</f>
        <v/>
      </c>
      <c r="C227" s="19"/>
      <c r="D227" s="19"/>
      <c r="E227" s="18" t="str">
        <f t="shared" si="1"/>
        <v/>
      </c>
      <c r="F227" s="19"/>
      <c r="G227" s="23"/>
      <c r="H227" s="19"/>
      <c r="I227" s="19"/>
      <c r="J227" s="19"/>
      <c r="K227" s="19"/>
      <c r="L227" s="30" t="str">
        <f>IFERROR(IF(K227="","",VLOOKUP(K227,Lists!$K$2:$O$61,5,FALSE)),"")</f>
        <v/>
      </c>
      <c r="M227" s="18" t="str">
        <f>IFERROR(IF(K227="","",VLOOKUP(K227,Lists!$K$2:$O$61,2,FALSE)),"")</f>
        <v/>
      </c>
      <c r="N227" s="18" t="str">
        <f>IFERROR(IF(K227="","",VLOOKUP(K227,Lists!$K$2:$O$61,3,FALSE)),"")</f>
        <v/>
      </c>
      <c r="O227" s="19"/>
      <c r="P227" s="31"/>
      <c r="Q227" s="32"/>
      <c r="R227" s="27"/>
    </row>
    <row r="228" ht="13.5" customHeight="1">
      <c r="A228" s="14"/>
      <c r="B228" s="18" t="str">
        <f>IF(A228="","",IFERROR(LOOKUP(A228,Lists!$U$2:$U$14,Lists!$T$2:$T$14),""))</f>
        <v/>
      </c>
      <c r="C228" s="19"/>
      <c r="D228" s="19"/>
      <c r="E228" s="18" t="str">
        <f t="shared" si="1"/>
        <v/>
      </c>
      <c r="F228" s="19"/>
      <c r="G228" s="23"/>
      <c r="H228" s="19"/>
      <c r="I228" s="19"/>
      <c r="J228" s="19"/>
      <c r="K228" s="19"/>
      <c r="L228" s="30" t="str">
        <f>IFERROR(IF(K228="","",VLOOKUP(K228,Lists!$K$2:$O$61,5,FALSE)),"")</f>
        <v/>
      </c>
      <c r="M228" s="18" t="str">
        <f>IFERROR(IF(K228="","",VLOOKUP(K228,Lists!$K$2:$O$61,2,FALSE)),"")</f>
        <v/>
      </c>
      <c r="N228" s="18" t="str">
        <f>IFERROR(IF(K228="","",VLOOKUP(K228,Lists!$K$2:$O$61,3,FALSE)),"")</f>
        <v/>
      </c>
      <c r="O228" s="19"/>
      <c r="P228" s="31"/>
      <c r="Q228" s="32"/>
      <c r="R228" s="27"/>
    </row>
    <row r="229" ht="13.5" customHeight="1">
      <c r="A229" s="14"/>
      <c r="B229" s="18" t="str">
        <f>IF(A229="","",IFERROR(LOOKUP(A229,Lists!$U$2:$U$14,Lists!$T$2:$T$14),""))</f>
        <v/>
      </c>
      <c r="C229" s="19"/>
      <c r="D229" s="19"/>
      <c r="E229" s="18" t="str">
        <f t="shared" si="1"/>
        <v/>
      </c>
      <c r="F229" s="19"/>
      <c r="G229" s="23"/>
      <c r="H229" s="19"/>
      <c r="I229" s="19"/>
      <c r="J229" s="19"/>
      <c r="K229" s="19"/>
      <c r="L229" s="30" t="str">
        <f>IFERROR(IF(K229="","",VLOOKUP(K229,Lists!$K$2:$O$61,5,FALSE)),"")</f>
        <v/>
      </c>
      <c r="M229" s="18" t="str">
        <f>IFERROR(IF(K229="","",VLOOKUP(K229,Lists!$K$2:$O$61,2,FALSE)),"")</f>
        <v/>
      </c>
      <c r="N229" s="18" t="str">
        <f>IFERROR(IF(K229="","",VLOOKUP(K229,Lists!$K$2:$O$61,3,FALSE)),"")</f>
        <v/>
      </c>
      <c r="O229" s="19"/>
      <c r="P229" s="31"/>
      <c r="Q229" s="32"/>
      <c r="R229" s="27"/>
    </row>
    <row r="230" ht="13.5" customHeight="1">
      <c r="A230" s="14"/>
      <c r="B230" s="18" t="str">
        <f>IF(A230="","",IFERROR(LOOKUP(A230,Lists!$U$2:$U$14,Lists!$T$2:$T$14),""))</f>
        <v/>
      </c>
      <c r="C230" s="19"/>
      <c r="D230" s="19"/>
      <c r="E230" s="18" t="str">
        <f t="shared" si="1"/>
        <v/>
      </c>
      <c r="F230" s="19"/>
      <c r="G230" s="23"/>
      <c r="H230" s="19"/>
      <c r="I230" s="19"/>
      <c r="J230" s="19"/>
      <c r="K230" s="19"/>
      <c r="L230" s="30" t="str">
        <f>IFERROR(IF(K230="","",VLOOKUP(K230,Lists!$K$2:$O$61,5,FALSE)),"")</f>
        <v/>
      </c>
      <c r="M230" s="18" t="str">
        <f>IFERROR(IF(K230="","",VLOOKUP(K230,Lists!$K$2:$O$61,2,FALSE)),"")</f>
        <v/>
      </c>
      <c r="N230" s="18" t="str">
        <f>IFERROR(IF(K230="","",VLOOKUP(K230,Lists!$K$2:$O$61,3,FALSE)),"")</f>
        <v/>
      </c>
      <c r="O230" s="19"/>
      <c r="P230" s="31"/>
      <c r="Q230" s="32"/>
      <c r="R230" s="27"/>
    </row>
    <row r="231" ht="13.5" customHeight="1">
      <c r="A231" s="14"/>
      <c r="B231" s="18" t="str">
        <f>IF(A231="","",IFERROR(LOOKUP(A231,Lists!$U$2:$U$14,Lists!$T$2:$T$14),""))</f>
        <v/>
      </c>
      <c r="C231" s="19"/>
      <c r="D231" s="19"/>
      <c r="E231" s="18" t="str">
        <f t="shared" si="1"/>
        <v/>
      </c>
      <c r="F231" s="19"/>
      <c r="G231" s="23"/>
      <c r="H231" s="19"/>
      <c r="I231" s="19"/>
      <c r="J231" s="19"/>
      <c r="K231" s="19"/>
      <c r="L231" s="30" t="str">
        <f>IFERROR(IF(K231="","",VLOOKUP(K231,Lists!$K$2:$O$61,5,FALSE)),"")</f>
        <v/>
      </c>
      <c r="M231" s="18" t="str">
        <f>IFERROR(IF(K231="","",VLOOKUP(K231,Lists!$K$2:$O$61,2,FALSE)),"")</f>
        <v/>
      </c>
      <c r="N231" s="18" t="str">
        <f>IFERROR(IF(K231="","",VLOOKUP(K231,Lists!$K$2:$O$61,3,FALSE)),"")</f>
        <v/>
      </c>
      <c r="O231" s="19"/>
      <c r="P231" s="31"/>
      <c r="Q231" s="32"/>
      <c r="R231" s="27"/>
    </row>
    <row r="232" ht="13.5" customHeight="1">
      <c r="A232" s="14"/>
      <c r="B232" s="18" t="str">
        <f>IF(A232="","",IFERROR(LOOKUP(A232,Lists!$U$2:$U$14,Lists!$T$2:$T$14),""))</f>
        <v/>
      </c>
      <c r="C232" s="19"/>
      <c r="D232" s="19"/>
      <c r="E232" s="18" t="str">
        <f t="shared" si="1"/>
        <v/>
      </c>
      <c r="F232" s="19"/>
      <c r="G232" s="23"/>
      <c r="H232" s="19"/>
      <c r="I232" s="19"/>
      <c r="J232" s="19"/>
      <c r="K232" s="19"/>
      <c r="L232" s="30" t="str">
        <f>IFERROR(IF(K232="","",VLOOKUP(K232,Lists!$K$2:$O$61,5,FALSE)),"")</f>
        <v/>
      </c>
      <c r="M232" s="18" t="str">
        <f>IFERROR(IF(K232="","",VLOOKUP(K232,Lists!$K$2:$O$61,2,FALSE)),"")</f>
        <v/>
      </c>
      <c r="N232" s="18" t="str">
        <f>IFERROR(IF(K232="","",VLOOKUP(K232,Lists!$K$2:$O$61,3,FALSE)),"")</f>
        <v/>
      </c>
      <c r="O232" s="19"/>
      <c r="P232" s="31"/>
      <c r="Q232" s="32"/>
      <c r="R232" s="27"/>
    </row>
    <row r="233" ht="13.5" customHeight="1">
      <c r="A233" s="14"/>
      <c r="B233" s="18" t="str">
        <f>IF(A233="","",IFERROR(LOOKUP(A233,Lists!$U$2:$U$14,Lists!$T$2:$T$14),""))</f>
        <v/>
      </c>
      <c r="C233" s="19"/>
      <c r="D233" s="19"/>
      <c r="E233" s="18" t="str">
        <f t="shared" si="1"/>
        <v/>
      </c>
      <c r="F233" s="19"/>
      <c r="G233" s="23"/>
      <c r="H233" s="19"/>
      <c r="I233" s="19"/>
      <c r="J233" s="19"/>
      <c r="K233" s="19"/>
      <c r="L233" s="30" t="str">
        <f>IFERROR(IF(K233="","",VLOOKUP(K233,Lists!$K$2:$O$61,5,FALSE)),"")</f>
        <v/>
      </c>
      <c r="M233" s="18" t="str">
        <f>IFERROR(IF(K233="","",VLOOKUP(K233,Lists!$K$2:$O$61,2,FALSE)),"")</f>
        <v/>
      </c>
      <c r="N233" s="18" t="str">
        <f>IFERROR(IF(K233="","",VLOOKUP(K233,Lists!$K$2:$O$61,3,FALSE)),"")</f>
        <v/>
      </c>
      <c r="O233" s="19"/>
      <c r="P233" s="31"/>
      <c r="Q233" s="32"/>
      <c r="R233" s="27"/>
    </row>
    <row r="234" ht="13.5" customHeight="1">
      <c r="A234" s="14"/>
      <c r="B234" s="18" t="str">
        <f>IF(A234="","",IFERROR(LOOKUP(A234,Lists!$U$2:$U$14,Lists!$T$2:$T$14),""))</f>
        <v/>
      </c>
      <c r="C234" s="19"/>
      <c r="D234" s="19"/>
      <c r="E234" s="18" t="str">
        <f t="shared" si="1"/>
        <v/>
      </c>
      <c r="F234" s="19"/>
      <c r="G234" s="23"/>
      <c r="H234" s="19"/>
      <c r="I234" s="19"/>
      <c r="J234" s="19"/>
      <c r="K234" s="19"/>
      <c r="L234" s="30" t="str">
        <f>IFERROR(IF(K234="","",VLOOKUP(K234,Lists!$K$2:$O$61,5,FALSE)),"")</f>
        <v/>
      </c>
      <c r="M234" s="18" t="str">
        <f>IFERROR(IF(K234="","",VLOOKUP(K234,Lists!$K$2:$O$61,2,FALSE)),"")</f>
        <v/>
      </c>
      <c r="N234" s="18" t="str">
        <f>IFERROR(IF(K234="","",VLOOKUP(K234,Lists!$K$2:$O$61,3,FALSE)),"")</f>
        <v/>
      </c>
      <c r="O234" s="19"/>
      <c r="P234" s="31"/>
      <c r="Q234" s="32"/>
      <c r="R234" s="27"/>
    </row>
    <row r="235" ht="13.5" customHeight="1">
      <c r="A235" s="14"/>
      <c r="B235" s="18" t="str">
        <f>IF(A235="","",IFERROR(LOOKUP(A235,Lists!$U$2:$U$14,Lists!$T$2:$T$14),""))</f>
        <v/>
      </c>
      <c r="C235" s="19"/>
      <c r="D235" s="19"/>
      <c r="E235" s="18" t="str">
        <f t="shared" si="1"/>
        <v/>
      </c>
      <c r="F235" s="19"/>
      <c r="G235" s="23"/>
      <c r="H235" s="19"/>
      <c r="I235" s="19"/>
      <c r="J235" s="19"/>
      <c r="K235" s="19"/>
      <c r="L235" s="30" t="str">
        <f>IFERROR(IF(K235="","",VLOOKUP(K235,Lists!$K$2:$O$61,5,FALSE)),"")</f>
        <v/>
      </c>
      <c r="M235" s="18" t="str">
        <f>IFERROR(IF(K235="","",VLOOKUP(K235,Lists!$K$2:$O$61,2,FALSE)),"")</f>
        <v/>
      </c>
      <c r="N235" s="18" t="str">
        <f>IFERROR(IF(K235="","",VLOOKUP(K235,Lists!$K$2:$O$61,3,FALSE)),"")</f>
        <v/>
      </c>
      <c r="O235" s="19"/>
      <c r="P235" s="31"/>
      <c r="Q235" s="32"/>
      <c r="R235" s="27"/>
    </row>
    <row r="236" ht="13.5" customHeight="1">
      <c r="A236" s="14"/>
      <c r="B236" s="18" t="str">
        <f>IF(A236="","",IFERROR(LOOKUP(A236,Lists!$U$2:$U$14,Lists!$T$2:$T$14),""))</f>
        <v/>
      </c>
      <c r="C236" s="19"/>
      <c r="D236" s="19"/>
      <c r="E236" s="18" t="str">
        <f t="shared" si="1"/>
        <v/>
      </c>
      <c r="F236" s="19"/>
      <c r="G236" s="23"/>
      <c r="H236" s="19"/>
      <c r="I236" s="19"/>
      <c r="J236" s="19"/>
      <c r="K236" s="19"/>
      <c r="L236" s="30" t="str">
        <f>IFERROR(IF(K236="","",VLOOKUP(K236,Lists!$K$2:$O$61,5,FALSE)),"")</f>
        <v/>
      </c>
      <c r="M236" s="18" t="str">
        <f>IFERROR(IF(K236="","",VLOOKUP(K236,Lists!$K$2:$O$61,2,FALSE)),"")</f>
        <v/>
      </c>
      <c r="N236" s="18" t="str">
        <f>IFERROR(IF(K236="","",VLOOKUP(K236,Lists!$K$2:$O$61,3,FALSE)),"")</f>
        <v/>
      </c>
      <c r="O236" s="19"/>
      <c r="P236" s="31"/>
      <c r="Q236" s="32"/>
      <c r="R236" s="27"/>
    </row>
    <row r="237" ht="13.5" customHeight="1">
      <c r="A237" s="14"/>
      <c r="B237" s="18" t="str">
        <f>IF(A237="","",IFERROR(LOOKUP(A237,Lists!$U$2:$U$14,Lists!$T$2:$T$14),""))</f>
        <v/>
      </c>
      <c r="C237" s="19"/>
      <c r="D237" s="19"/>
      <c r="E237" s="18" t="str">
        <f t="shared" si="1"/>
        <v/>
      </c>
      <c r="F237" s="19"/>
      <c r="G237" s="23"/>
      <c r="H237" s="19"/>
      <c r="I237" s="19"/>
      <c r="J237" s="19"/>
      <c r="K237" s="19"/>
      <c r="L237" s="30" t="str">
        <f>IFERROR(IF(K237="","",VLOOKUP(K237,Lists!$K$2:$O$61,5,FALSE)),"")</f>
        <v/>
      </c>
      <c r="M237" s="18" t="str">
        <f>IFERROR(IF(K237="","",VLOOKUP(K237,Lists!$K$2:$O$61,2,FALSE)),"")</f>
        <v/>
      </c>
      <c r="N237" s="18" t="str">
        <f>IFERROR(IF(K237="","",VLOOKUP(K237,Lists!$K$2:$O$61,3,FALSE)),"")</f>
        <v/>
      </c>
      <c r="O237" s="19"/>
      <c r="P237" s="31"/>
      <c r="Q237" s="32"/>
      <c r="R237" s="27"/>
    </row>
    <row r="238" ht="13.5" customHeight="1">
      <c r="A238" s="14"/>
      <c r="B238" s="18" t="str">
        <f>IF(A238="","",IFERROR(LOOKUP(A238,Lists!$U$2:$U$14,Lists!$T$2:$T$14),""))</f>
        <v/>
      </c>
      <c r="C238" s="19"/>
      <c r="D238" s="19"/>
      <c r="E238" s="18" t="str">
        <f t="shared" si="1"/>
        <v/>
      </c>
      <c r="F238" s="19"/>
      <c r="G238" s="23"/>
      <c r="H238" s="19"/>
      <c r="I238" s="19"/>
      <c r="J238" s="19"/>
      <c r="K238" s="19"/>
      <c r="L238" s="30" t="str">
        <f>IFERROR(IF(K238="","",VLOOKUP(K238,Lists!$K$2:$O$61,5,FALSE)),"")</f>
        <v/>
      </c>
      <c r="M238" s="18" t="str">
        <f>IFERROR(IF(K238="","",VLOOKUP(K238,Lists!$K$2:$O$61,2,FALSE)),"")</f>
        <v/>
      </c>
      <c r="N238" s="18" t="str">
        <f>IFERROR(IF(K238="","",VLOOKUP(K238,Lists!$K$2:$O$61,3,FALSE)),"")</f>
        <v/>
      </c>
      <c r="O238" s="19"/>
      <c r="P238" s="31"/>
      <c r="Q238" s="32"/>
      <c r="R238" s="27"/>
    </row>
    <row r="239" ht="13.5" customHeight="1">
      <c r="A239" s="14"/>
      <c r="B239" s="18" t="str">
        <f>IF(A239="","",IFERROR(LOOKUP(A239,Lists!$U$2:$U$14,Lists!$T$2:$T$14),""))</f>
        <v/>
      </c>
      <c r="C239" s="19"/>
      <c r="D239" s="19"/>
      <c r="E239" s="18" t="str">
        <f t="shared" si="1"/>
        <v/>
      </c>
      <c r="F239" s="19"/>
      <c r="G239" s="23"/>
      <c r="H239" s="19"/>
      <c r="I239" s="19"/>
      <c r="J239" s="19"/>
      <c r="K239" s="19"/>
      <c r="L239" s="30" t="str">
        <f>IFERROR(IF(K239="","",VLOOKUP(K239,Lists!$K$2:$O$61,5,FALSE)),"")</f>
        <v/>
      </c>
      <c r="M239" s="18" t="str">
        <f>IFERROR(IF(K239="","",VLOOKUP(K239,Lists!$K$2:$O$61,2,FALSE)),"")</f>
        <v/>
      </c>
      <c r="N239" s="18" t="str">
        <f>IFERROR(IF(K239="","",VLOOKUP(K239,Lists!$K$2:$O$61,3,FALSE)),"")</f>
        <v/>
      </c>
      <c r="O239" s="19"/>
      <c r="P239" s="31"/>
      <c r="Q239" s="32"/>
      <c r="R239" s="27"/>
    </row>
    <row r="240" ht="13.5" customHeight="1">
      <c r="A240" s="14"/>
      <c r="B240" s="18" t="str">
        <f>IF(A240="","",IFERROR(LOOKUP(A240,Lists!$U$2:$U$14,Lists!$T$2:$T$14),""))</f>
        <v/>
      </c>
      <c r="C240" s="19"/>
      <c r="D240" s="19"/>
      <c r="E240" s="18" t="str">
        <f t="shared" si="1"/>
        <v/>
      </c>
      <c r="F240" s="19"/>
      <c r="G240" s="23"/>
      <c r="H240" s="19"/>
      <c r="I240" s="19"/>
      <c r="J240" s="19"/>
      <c r="K240" s="19"/>
      <c r="L240" s="30" t="str">
        <f>IFERROR(IF(K240="","",VLOOKUP(K240,Lists!$K$2:$O$61,5,FALSE)),"")</f>
        <v/>
      </c>
      <c r="M240" s="18" t="str">
        <f>IFERROR(IF(K240="","",VLOOKUP(K240,Lists!$K$2:$O$61,2,FALSE)),"")</f>
        <v/>
      </c>
      <c r="N240" s="18" t="str">
        <f>IFERROR(IF(K240="","",VLOOKUP(K240,Lists!$K$2:$O$61,3,FALSE)),"")</f>
        <v/>
      </c>
      <c r="O240" s="19"/>
      <c r="P240" s="31"/>
      <c r="Q240" s="32"/>
      <c r="R240" s="27"/>
    </row>
    <row r="241" ht="13.5" customHeight="1">
      <c r="A241" s="14"/>
      <c r="B241" s="18" t="str">
        <f>IF(A241="","",IFERROR(LOOKUP(A241,Lists!$U$2:$U$14,Lists!$T$2:$T$14),""))</f>
        <v/>
      </c>
      <c r="C241" s="19"/>
      <c r="D241" s="19"/>
      <c r="E241" s="18" t="str">
        <f t="shared" si="1"/>
        <v/>
      </c>
      <c r="F241" s="19"/>
      <c r="G241" s="23"/>
      <c r="H241" s="19"/>
      <c r="I241" s="19"/>
      <c r="J241" s="19"/>
      <c r="K241" s="19"/>
      <c r="L241" s="30" t="str">
        <f>IFERROR(IF(K241="","",VLOOKUP(K241,Lists!$K$2:$O$61,5,FALSE)),"")</f>
        <v/>
      </c>
      <c r="M241" s="18" t="str">
        <f>IFERROR(IF(K241="","",VLOOKUP(K241,Lists!$K$2:$O$61,2,FALSE)),"")</f>
        <v/>
      </c>
      <c r="N241" s="18" t="str">
        <f>IFERROR(IF(K241="","",VLOOKUP(K241,Lists!$K$2:$O$61,3,FALSE)),"")</f>
        <v/>
      </c>
      <c r="O241" s="19"/>
      <c r="P241" s="31"/>
      <c r="Q241" s="32"/>
      <c r="R241" s="27"/>
    </row>
    <row r="242" ht="13.5" customHeight="1">
      <c r="A242" s="14"/>
      <c r="B242" s="18" t="str">
        <f>IF(A242="","",IFERROR(LOOKUP(A242,Lists!$U$2:$U$14,Lists!$T$2:$T$14),""))</f>
        <v/>
      </c>
      <c r="C242" s="19"/>
      <c r="D242" s="19"/>
      <c r="E242" s="18" t="str">
        <f t="shared" si="1"/>
        <v/>
      </c>
      <c r="F242" s="19"/>
      <c r="G242" s="23"/>
      <c r="H242" s="19"/>
      <c r="I242" s="19"/>
      <c r="J242" s="19"/>
      <c r="K242" s="19"/>
      <c r="L242" s="30" t="str">
        <f>IFERROR(IF(K242="","",VLOOKUP(K242,Lists!$K$2:$O$61,5,FALSE)),"")</f>
        <v/>
      </c>
      <c r="M242" s="18" t="str">
        <f>IFERROR(IF(K242="","",VLOOKUP(K242,Lists!$K$2:$O$61,2,FALSE)),"")</f>
        <v/>
      </c>
      <c r="N242" s="18" t="str">
        <f>IFERROR(IF(K242="","",VLOOKUP(K242,Lists!$K$2:$O$61,3,FALSE)),"")</f>
        <v/>
      </c>
      <c r="O242" s="19"/>
      <c r="P242" s="31"/>
      <c r="Q242" s="32"/>
      <c r="R242" s="27"/>
    </row>
    <row r="243" ht="13.5" customHeight="1">
      <c r="A243" s="14"/>
      <c r="B243" s="18" t="str">
        <f>IF(A243="","",IFERROR(LOOKUP(A243,Lists!$U$2:$U$14,Lists!$T$2:$T$14),""))</f>
        <v/>
      </c>
      <c r="C243" s="19"/>
      <c r="D243" s="19"/>
      <c r="E243" s="18" t="str">
        <f t="shared" si="1"/>
        <v/>
      </c>
      <c r="F243" s="19"/>
      <c r="G243" s="23"/>
      <c r="H243" s="19"/>
      <c r="I243" s="19"/>
      <c r="J243" s="19"/>
      <c r="K243" s="19"/>
      <c r="L243" s="30" t="str">
        <f>IFERROR(IF(K243="","",VLOOKUP(K243,Lists!$K$2:$O$61,5,FALSE)),"")</f>
        <v/>
      </c>
      <c r="M243" s="18" t="str">
        <f>IFERROR(IF(K243="","",VLOOKUP(K243,Lists!$K$2:$O$61,2,FALSE)),"")</f>
        <v/>
      </c>
      <c r="N243" s="18" t="str">
        <f>IFERROR(IF(K243="","",VLOOKUP(K243,Lists!$K$2:$O$61,3,FALSE)),"")</f>
        <v/>
      </c>
      <c r="O243" s="19"/>
      <c r="P243" s="31"/>
      <c r="Q243" s="32"/>
      <c r="R243" s="27"/>
    </row>
    <row r="244" ht="13.5" customHeight="1">
      <c r="A244" s="14"/>
      <c r="B244" s="18" t="str">
        <f>IF(A244="","",IFERROR(LOOKUP(A244,Lists!$U$2:$U$14,Lists!$T$2:$T$14),""))</f>
        <v/>
      </c>
      <c r="C244" s="19"/>
      <c r="D244" s="19"/>
      <c r="E244" s="18" t="str">
        <f t="shared" si="1"/>
        <v/>
      </c>
      <c r="F244" s="19"/>
      <c r="G244" s="23"/>
      <c r="H244" s="19"/>
      <c r="I244" s="19"/>
      <c r="J244" s="19"/>
      <c r="K244" s="19"/>
      <c r="L244" s="30" t="str">
        <f>IFERROR(IF(K244="","",VLOOKUP(K244,Lists!$K$2:$O$61,5,FALSE)),"")</f>
        <v/>
      </c>
      <c r="M244" s="18" t="str">
        <f>IFERROR(IF(K244="","",VLOOKUP(K244,Lists!$K$2:$O$61,2,FALSE)),"")</f>
        <v/>
      </c>
      <c r="N244" s="18" t="str">
        <f>IFERROR(IF(K244="","",VLOOKUP(K244,Lists!$K$2:$O$61,3,FALSE)),"")</f>
        <v/>
      </c>
      <c r="O244" s="19"/>
      <c r="P244" s="31"/>
      <c r="Q244" s="32"/>
      <c r="R244" s="27"/>
    </row>
    <row r="245" ht="13.5" customHeight="1">
      <c r="A245" s="14"/>
      <c r="B245" s="18" t="str">
        <f>IF(A245="","",IFERROR(LOOKUP(A245,Lists!$U$2:$U$14,Lists!$T$2:$T$14),""))</f>
        <v/>
      </c>
      <c r="C245" s="19"/>
      <c r="D245" s="19"/>
      <c r="E245" s="18" t="str">
        <f t="shared" si="1"/>
        <v/>
      </c>
      <c r="F245" s="19"/>
      <c r="G245" s="23"/>
      <c r="H245" s="19"/>
      <c r="I245" s="19"/>
      <c r="J245" s="19"/>
      <c r="K245" s="19"/>
      <c r="L245" s="30" t="str">
        <f>IFERROR(IF(K245="","",VLOOKUP(K245,Lists!$K$2:$O$61,5,FALSE)),"")</f>
        <v/>
      </c>
      <c r="M245" s="18" t="str">
        <f>IFERROR(IF(K245="","",VLOOKUP(K245,Lists!$K$2:$O$61,2,FALSE)),"")</f>
        <v/>
      </c>
      <c r="N245" s="18" t="str">
        <f>IFERROR(IF(K245="","",VLOOKUP(K245,Lists!$K$2:$O$61,3,FALSE)),"")</f>
        <v/>
      </c>
      <c r="O245" s="19"/>
      <c r="P245" s="31"/>
      <c r="Q245" s="32"/>
      <c r="R245" s="27"/>
    </row>
    <row r="246" ht="13.5" customHeight="1">
      <c r="A246" s="14"/>
      <c r="B246" s="18" t="str">
        <f>IF(A246="","",IFERROR(LOOKUP(A246,Lists!$U$2:$U$14,Lists!$T$2:$T$14),""))</f>
        <v/>
      </c>
      <c r="C246" s="19"/>
      <c r="D246" s="19"/>
      <c r="E246" s="18" t="str">
        <f t="shared" si="1"/>
        <v/>
      </c>
      <c r="F246" s="19"/>
      <c r="G246" s="23"/>
      <c r="H246" s="19"/>
      <c r="I246" s="19"/>
      <c r="J246" s="19"/>
      <c r="K246" s="19"/>
      <c r="L246" s="30" t="str">
        <f>IFERROR(IF(K246="","",VLOOKUP(K246,Lists!$K$2:$O$61,5,FALSE)),"")</f>
        <v/>
      </c>
      <c r="M246" s="18" t="str">
        <f>IFERROR(IF(K246="","",VLOOKUP(K246,Lists!$K$2:$O$61,2,FALSE)),"")</f>
        <v/>
      </c>
      <c r="N246" s="18" t="str">
        <f>IFERROR(IF(K246="","",VLOOKUP(K246,Lists!$K$2:$O$61,3,FALSE)),"")</f>
        <v/>
      </c>
      <c r="O246" s="19"/>
      <c r="P246" s="31"/>
      <c r="Q246" s="32"/>
      <c r="R246" s="27"/>
    </row>
    <row r="247" ht="13.5" customHeight="1">
      <c r="A247" s="14"/>
      <c r="B247" s="18" t="str">
        <f>IF(A247="","",IFERROR(LOOKUP(A247,Lists!$U$2:$U$14,Lists!$T$2:$T$14),""))</f>
        <v/>
      </c>
      <c r="C247" s="19"/>
      <c r="D247" s="19"/>
      <c r="E247" s="18" t="str">
        <f t="shared" si="1"/>
        <v/>
      </c>
      <c r="F247" s="19"/>
      <c r="G247" s="23"/>
      <c r="H247" s="19"/>
      <c r="I247" s="19"/>
      <c r="J247" s="19"/>
      <c r="K247" s="19"/>
      <c r="L247" s="30" t="str">
        <f>IFERROR(IF(K247="","",VLOOKUP(K247,Lists!$K$2:$O$61,5,FALSE)),"")</f>
        <v/>
      </c>
      <c r="M247" s="18" t="str">
        <f>IFERROR(IF(K247="","",VLOOKUP(K247,Lists!$K$2:$O$61,2,FALSE)),"")</f>
        <v/>
      </c>
      <c r="N247" s="18" t="str">
        <f>IFERROR(IF(K247="","",VLOOKUP(K247,Lists!$K$2:$O$61,3,FALSE)),"")</f>
        <v/>
      </c>
      <c r="O247" s="19"/>
      <c r="P247" s="31"/>
      <c r="Q247" s="32"/>
      <c r="R247" s="27"/>
    </row>
    <row r="248" ht="13.5" customHeight="1">
      <c r="A248" s="14"/>
      <c r="B248" s="18" t="str">
        <f>IF(A248="","",IFERROR(LOOKUP(A248,Lists!$U$2:$U$14,Lists!$T$2:$T$14),""))</f>
        <v/>
      </c>
      <c r="C248" s="19"/>
      <c r="D248" s="19"/>
      <c r="E248" s="18" t="str">
        <f t="shared" si="1"/>
        <v/>
      </c>
      <c r="F248" s="19"/>
      <c r="G248" s="23"/>
      <c r="H248" s="19"/>
      <c r="I248" s="19"/>
      <c r="J248" s="19"/>
      <c r="K248" s="19"/>
      <c r="L248" s="30" t="str">
        <f>IFERROR(IF(K248="","",VLOOKUP(K248,Lists!$K$2:$O$61,5,FALSE)),"")</f>
        <v/>
      </c>
      <c r="M248" s="18" t="str">
        <f>IFERROR(IF(K248="","",VLOOKUP(K248,Lists!$K$2:$O$61,2,FALSE)),"")</f>
        <v/>
      </c>
      <c r="N248" s="18" t="str">
        <f>IFERROR(IF(K248="","",VLOOKUP(K248,Lists!$K$2:$O$61,3,FALSE)),"")</f>
        <v/>
      </c>
      <c r="O248" s="19"/>
      <c r="P248" s="31"/>
      <c r="Q248" s="32"/>
      <c r="R248" s="27"/>
    </row>
    <row r="249" ht="13.5" customHeight="1">
      <c r="A249" s="14"/>
      <c r="B249" s="18" t="str">
        <f>IF(A249="","",IFERROR(LOOKUP(A249,Lists!$U$2:$U$14,Lists!$T$2:$T$14),""))</f>
        <v/>
      </c>
      <c r="C249" s="19"/>
      <c r="D249" s="19"/>
      <c r="E249" s="18" t="str">
        <f t="shared" si="1"/>
        <v/>
      </c>
      <c r="F249" s="19"/>
      <c r="G249" s="23"/>
      <c r="H249" s="19"/>
      <c r="I249" s="19"/>
      <c r="J249" s="19"/>
      <c r="K249" s="19"/>
      <c r="L249" s="30" t="str">
        <f>IFERROR(IF(K249="","",VLOOKUP(K249,Lists!$K$2:$O$61,5,FALSE)),"")</f>
        <v/>
      </c>
      <c r="M249" s="18" t="str">
        <f>IFERROR(IF(K249="","",VLOOKUP(K249,Lists!$K$2:$O$61,2,FALSE)),"")</f>
        <v/>
      </c>
      <c r="N249" s="18" t="str">
        <f>IFERROR(IF(K249="","",VLOOKUP(K249,Lists!$K$2:$O$61,3,FALSE)),"")</f>
        <v/>
      </c>
      <c r="O249" s="19"/>
      <c r="P249" s="31"/>
      <c r="Q249" s="32"/>
      <c r="R249" s="27"/>
    </row>
    <row r="250" ht="13.5" customHeight="1">
      <c r="A250" s="14"/>
      <c r="B250" s="18" t="str">
        <f>IF(A250="","",IFERROR(LOOKUP(A250,Lists!$U$2:$U$14,Lists!$T$2:$T$14),""))</f>
        <v/>
      </c>
      <c r="C250" s="19"/>
      <c r="D250" s="19"/>
      <c r="E250" s="18" t="str">
        <f t="shared" si="1"/>
        <v/>
      </c>
      <c r="F250" s="19"/>
      <c r="G250" s="23"/>
      <c r="H250" s="19"/>
      <c r="I250" s="19"/>
      <c r="J250" s="19"/>
      <c r="K250" s="19"/>
      <c r="L250" s="30" t="str">
        <f>IFERROR(IF(K250="","",VLOOKUP(K250,Lists!$K$2:$O$61,5,FALSE)),"")</f>
        <v/>
      </c>
      <c r="M250" s="18" t="str">
        <f>IFERROR(IF(K250="","",VLOOKUP(K250,Lists!$K$2:$O$61,2,FALSE)),"")</f>
        <v/>
      </c>
      <c r="N250" s="18" t="str">
        <f>IFERROR(IF(K250="","",VLOOKUP(K250,Lists!$K$2:$O$61,3,FALSE)),"")</f>
        <v/>
      </c>
      <c r="O250" s="19"/>
      <c r="P250" s="31"/>
      <c r="Q250" s="32"/>
      <c r="R250" s="27"/>
    </row>
    <row r="251" ht="13.5" customHeight="1">
      <c r="A251" s="14"/>
      <c r="B251" s="18" t="str">
        <f>IF(A251="","",IFERROR(LOOKUP(A251,Lists!$U$2:$U$14,Lists!$T$2:$T$14),""))</f>
        <v/>
      </c>
      <c r="C251" s="19"/>
      <c r="D251" s="19"/>
      <c r="E251" s="18" t="str">
        <f t="shared" si="1"/>
        <v/>
      </c>
      <c r="F251" s="19"/>
      <c r="G251" s="23"/>
      <c r="H251" s="19"/>
      <c r="I251" s="19"/>
      <c r="J251" s="19"/>
      <c r="K251" s="19"/>
      <c r="L251" s="30" t="str">
        <f>IFERROR(IF(K251="","",VLOOKUP(K251,Lists!$K$2:$O$61,5,FALSE)),"")</f>
        <v/>
      </c>
      <c r="M251" s="18" t="str">
        <f>IFERROR(IF(K251="","",VLOOKUP(K251,Lists!$K$2:$O$61,2,FALSE)),"")</f>
        <v/>
      </c>
      <c r="N251" s="18" t="str">
        <f>IFERROR(IF(K251="","",VLOOKUP(K251,Lists!$K$2:$O$61,3,FALSE)),"")</f>
        <v/>
      </c>
      <c r="O251" s="19"/>
      <c r="P251" s="31"/>
      <c r="Q251" s="32"/>
      <c r="R251" s="27"/>
    </row>
    <row r="252" ht="13.5" customHeight="1">
      <c r="A252" s="14"/>
      <c r="B252" s="18" t="str">
        <f>IF(A252="","",IFERROR(LOOKUP(A252,Lists!$U$2:$U$14,Lists!$T$2:$T$14),""))</f>
        <v/>
      </c>
      <c r="C252" s="19"/>
      <c r="D252" s="19"/>
      <c r="E252" s="18" t="str">
        <f t="shared" si="1"/>
        <v/>
      </c>
      <c r="F252" s="19"/>
      <c r="G252" s="23"/>
      <c r="H252" s="19"/>
      <c r="I252" s="19"/>
      <c r="J252" s="19"/>
      <c r="K252" s="19"/>
      <c r="L252" s="30" t="str">
        <f>IFERROR(IF(K252="","",VLOOKUP(K252,Lists!$K$2:$O$61,5,FALSE)),"")</f>
        <v/>
      </c>
      <c r="M252" s="18" t="str">
        <f>IFERROR(IF(K252="","",VLOOKUP(K252,Lists!$K$2:$O$61,2,FALSE)),"")</f>
        <v/>
      </c>
      <c r="N252" s="18" t="str">
        <f>IFERROR(IF(K252="","",VLOOKUP(K252,Lists!$K$2:$O$61,3,FALSE)),"")</f>
        <v/>
      </c>
      <c r="O252" s="19"/>
      <c r="P252" s="31"/>
      <c r="Q252" s="32"/>
      <c r="R252" s="27"/>
    </row>
    <row r="253" ht="13.5" customHeight="1">
      <c r="A253" s="14"/>
      <c r="B253" s="18" t="str">
        <f>IF(A253="","",IFERROR(LOOKUP(A253,Lists!$U$2:$U$14,Lists!$T$2:$T$14),""))</f>
        <v/>
      </c>
      <c r="C253" s="19"/>
      <c r="D253" s="19"/>
      <c r="E253" s="18" t="str">
        <f t="shared" si="1"/>
        <v/>
      </c>
      <c r="F253" s="19"/>
      <c r="G253" s="23"/>
      <c r="H253" s="19"/>
      <c r="I253" s="19"/>
      <c r="J253" s="19"/>
      <c r="K253" s="19"/>
      <c r="L253" s="30" t="str">
        <f>IFERROR(IF(K253="","",VLOOKUP(K253,Lists!$K$2:$O$61,5,FALSE)),"")</f>
        <v/>
      </c>
      <c r="M253" s="18" t="str">
        <f>IFERROR(IF(K253="","",VLOOKUP(K253,Lists!$K$2:$O$61,2,FALSE)),"")</f>
        <v/>
      </c>
      <c r="N253" s="18" t="str">
        <f>IFERROR(IF(K253="","",VLOOKUP(K253,Lists!$K$2:$O$61,3,FALSE)),"")</f>
        <v/>
      </c>
      <c r="O253" s="19"/>
      <c r="P253" s="31"/>
      <c r="Q253" s="32"/>
      <c r="R253" s="27"/>
    </row>
    <row r="254" ht="13.5" customHeight="1">
      <c r="A254" s="14"/>
      <c r="B254" s="18" t="str">
        <f>IF(A254="","",IFERROR(LOOKUP(A254,Lists!$U$2:$U$14,Lists!$T$2:$T$14),""))</f>
        <v/>
      </c>
      <c r="C254" s="19"/>
      <c r="D254" s="19"/>
      <c r="E254" s="18" t="str">
        <f t="shared" si="1"/>
        <v/>
      </c>
      <c r="F254" s="19"/>
      <c r="G254" s="23"/>
      <c r="H254" s="19"/>
      <c r="I254" s="19"/>
      <c r="J254" s="19"/>
      <c r="K254" s="19"/>
      <c r="L254" s="30" t="str">
        <f>IFERROR(IF(K254="","",VLOOKUP(K254,Lists!$K$2:$O$61,5,FALSE)),"")</f>
        <v/>
      </c>
      <c r="M254" s="18" t="str">
        <f>IFERROR(IF(K254="","",VLOOKUP(K254,Lists!$K$2:$O$61,2,FALSE)),"")</f>
        <v/>
      </c>
      <c r="N254" s="18" t="str">
        <f>IFERROR(IF(K254="","",VLOOKUP(K254,Lists!$K$2:$O$61,3,FALSE)),"")</f>
        <v/>
      </c>
      <c r="O254" s="19"/>
      <c r="P254" s="31"/>
      <c r="Q254" s="32"/>
      <c r="R254" s="27"/>
    </row>
    <row r="255" ht="13.5" customHeight="1">
      <c r="A255" s="14"/>
      <c r="B255" s="18" t="str">
        <f>IF(A255="","",IFERROR(LOOKUP(A255,Lists!$U$2:$U$14,Lists!$T$2:$T$14),""))</f>
        <v/>
      </c>
      <c r="C255" s="19"/>
      <c r="D255" s="19"/>
      <c r="E255" s="18" t="str">
        <f t="shared" si="1"/>
        <v/>
      </c>
      <c r="F255" s="19"/>
      <c r="G255" s="23"/>
      <c r="H255" s="19"/>
      <c r="I255" s="19"/>
      <c r="J255" s="19"/>
      <c r="K255" s="19"/>
      <c r="L255" s="30" t="str">
        <f>IFERROR(IF(K255="","",VLOOKUP(K255,Lists!$K$2:$O$61,5,FALSE)),"")</f>
        <v/>
      </c>
      <c r="M255" s="18" t="str">
        <f>IFERROR(IF(K255="","",VLOOKUP(K255,Lists!$K$2:$O$61,2,FALSE)),"")</f>
        <v/>
      </c>
      <c r="N255" s="18" t="str">
        <f>IFERROR(IF(K255="","",VLOOKUP(K255,Lists!$K$2:$O$61,3,FALSE)),"")</f>
        <v/>
      </c>
      <c r="O255" s="19"/>
      <c r="P255" s="31"/>
      <c r="Q255" s="32"/>
      <c r="R255" s="27"/>
    </row>
    <row r="256" ht="13.5" customHeight="1">
      <c r="A256" s="14"/>
      <c r="B256" s="18" t="str">
        <f>IF(A256="","",IFERROR(LOOKUP(A256,Lists!$U$2:$U$14,Lists!$T$2:$T$14),""))</f>
        <v/>
      </c>
      <c r="C256" s="19"/>
      <c r="D256" s="19"/>
      <c r="E256" s="18" t="str">
        <f t="shared" si="1"/>
        <v/>
      </c>
      <c r="F256" s="19"/>
      <c r="G256" s="23"/>
      <c r="H256" s="19"/>
      <c r="I256" s="19"/>
      <c r="J256" s="19"/>
      <c r="K256" s="19"/>
      <c r="L256" s="30" t="str">
        <f>IFERROR(IF(K256="","",VLOOKUP(K256,Lists!$K$2:$O$61,5,FALSE)),"")</f>
        <v/>
      </c>
      <c r="M256" s="18" t="str">
        <f>IFERROR(IF(K256="","",VLOOKUP(K256,Lists!$K$2:$O$61,2,FALSE)),"")</f>
        <v/>
      </c>
      <c r="N256" s="18" t="str">
        <f>IFERROR(IF(K256="","",VLOOKUP(K256,Lists!$K$2:$O$61,3,FALSE)),"")</f>
        <v/>
      </c>
      <c r="O256" s="19"/>
      <c r="P256" s="31"/>
      <c r="Q256" s="32"/>
      <c r="R256" s="27"/>
    </row>
    <row r="257" ht="13.5" customHeight="1">
      <c r="A257" s="14"/>
      <c r="B257" s="18" t="str">
        <f>IF(A257="","",IFERROR(LOOKUP(A257,Lists!$U$2:$U$14,Lists!$T$2:$T$14),""))</f>
        <v/>
      </c>
      <c r="C257" s="19"/>
      <c r="D257" s="19"/>
      <c r="E257" s="18" t="str">
        <f t="shared" si="1"/>
        <v/>
      </c>
      <c r="F257" s="19"/>
      <c r="G257" s="23"/>
      <c r="H257" s="19"/>
      <c r="I257" s="19"/>
      <c r="J257" s="19"/>
      <c r="K257" s="19"/>
      <c r="L257" s="30" t="str">
        <f>IFERROR(IF(K257="","",VLOOKUP(K257,Lists!$K$2:$O$61,5,FALSE)),"")</f>
        <v/>
      </c>
      <c r="M257" s="18" t="str">
        <f>IFERROR(IF(K257="","",VLOOKUP(K257,Lists!$K$2:$O$61,2,FALSE)),"")</f>
        <v/>
      </c>
      <c r="N257" s="18" t="str">
        <f>IFERROR(IF(K257="","",VLOOKUP(K257,Lists!$K$2:$O$61,3,FALSE)),"")</f>
        <v/>
      </c>
      <c r="O257" s="19"/>
      <c r="P257" s="31"/>
      <c r="Q257" s="32"/>
      <c r="R257" s="27"/>
    </row>
    <row r="258" ht="13.5" customHeight="1">
      <c r="A258" s="14"/>
      <c r="B258" s="18" t="str">
        <f>IF(A258="","",IFERROR(LOOKUP(A258,Lists!$U$2:$U$14,Lists!$T$2:$T$14),""))</f>
        <v/>
      </c>
      <c r="C258" s="19"/>
      <c r="D258" s="19"/>
      <c r="E258" s="18" t="str">
        <f t="shared" si="1"/>
        <v/>
      </c>
      <c r="F258" s="19"/>
      <c r="G258" s="23"/>
      <c r="H258" s="19"/>
      <c r="I258" s="19"/>
      <c r="J258" s="19"/>
      <c r="K258" s="19"/>
      <c r="L258" s="30" t="str">
        <f>IFERROR(IF(K258="","",VLOOKUP(K258,Lists!$K$2:$O$61,5,FALSE)),"")</f>
        <v/>
      </c>
      <c r="M258" s="18" t="str">
        <f>IFERROR(IF(K258="","",VLOOKUP(K258,Lists!$K$2:$O$61,2,FALSE)),"")</f>
        <v/>
      </c>
      <c r="N258" s="18" t="str">
        <f>IFERROR(IF(K258="","",VLOOKUP(K258,Lists!$K$2:$O$61,3,FALSE)),"")</f>
        <v/>
      </c>
      <c r="O258" s="19"/>
      <c r="P258" s="31"/>
      <c r="Q258" s="32"/>
      <c r="R258" s="27"/>
    </row>
    <row r="259" ht="13.5" customHeight="1">
      <c r="A259" s="14"/>
      <c r="B259" s="18" t="str">
        <f>IF(A259="","",IFERROR(LOOKUP(A259,Lists!$U$2:$U$14,Lists!$T$2:$T$14),""))</f>
        <v/>
      </c>
      <c r="C259" s="19"/>
      <c r="D259" s="19"/>
      <c r="E259" s="18" t="str">
        <f t="shared" si="1"/>
        <v/>
      </c>
      <c r="F259" s="19"/>
      <c r="G259" s="23"/>
      <c r="H259" s="19"/>
      <c r="I259" s="19"/>
      <c r="J259" s="19"/>
      <c r="K259" s="19"/>
      <c r="L259" s="30" t="str">
        <f>IFERROR(IF(K259="","",VLOOKUP(K259,Lists!$K$2:$O$61,5,FALSE)),"")</f>
        <v/>
      </c>
      <c r="M259" s="18" t="str">
        <f>IFERROR(IF(K259="","",VLOOKUP(K259,Lists!$K$2:$O$61,2,FALSE)),"")</f>
        <v/>
      </c>
      <c r="N259" s="18" t="str">
        <f>IFERROR(IF(K259="","",VLOOKUP(K259,Lists!$K$2:$O$61,3,FALSE)),"")</f>
        <v/>
      </c>
      <c r="O259" s="19"/>
      <c r="P259" s="31"/>
      <c r="Q259" s="32"/>
      <c r="R259" s="27"/>
    </row>
    <row r="260" ht="13.5" customHeight="1">
      <c r="A260" s="14"/>
      <c r="B260" s="18" t="str">
        <f>IF(A260="","",IFERROR(LOOKUP(A260,Lists!$U$2:$U$14,Lists!$T$2:$T$14),""))</f>
        <v/>
      </c>
      <c r="C260" s="19"/>
      <c r="D260" s="19"/>
      <c r="E260" s="18" t="str">
        <f t="shared" si="1"/>
        <v/>
      </c>
      <c r="F260" s="19"/>
      <c r="G260" s="23"/>
      <c r="H260" s="19"/>
      <c r="I260" s="19"/>
      <c r="J260" s="19"/>
      <c r="K260" s="19"/>
      <c r="L260" s="30" t="str">
        <f>IFERROR(IF(K260="","",VLOOKUP(K260,Lists!$K$2:$O$61,5,FALSE)),"")</f>
        <v/>
      </c>
      <c r="M260" s="18" t="str">
        <f>IFERROR(IF(K260="","",VLOOKUP(K260,Lists!$K$2:$O$61,2,FALSE)),"")</f>
        <v/>
      </c>
      <c r="N260" s="18" t="str">
        <f>IFERROR(IF(K260="","",VLOOKUP(K260,Lists!$K$2:$O$61,3,FALSE)),"")</f>
        <v/>
      </c>
      <c r="O260" s="19"/>
      <c r="P260" s="31"/>
      <c r="Q260" s="32"/>
      <c r="R260" s="27"/>
    </row>
    <row r="261" ht="13.5" customHeight="1">
      <c r="A261" s="14"/>
      <c r="B261" s="18" t="str">
        <f>IF(A261="","",IFERROR(LOOKUP(A261,Lists!$U$2:$U$14,Lists!$T$2:$T$14),""))</f>
        <v/>
      </c>
      <c r="C261" s="19"/>
      <c r="D261" s="19"/>
      <c r="E261" s="18" t="str">
        <f t="shared" si="1"/>
        <v/>
      </c>
      <c r="F261" s="19"/>
      <c r="G261" s="23"/>
      <c r="H261" s="19"/>
      <c r="I261" s="19"/>
      <c r="J261" s="19"/>
      <c r="K261" s="19"/>
      <c r="L261" s="30" t="str">
        <f>IFERROR(IF(K261="","",VLOOKUP(K261,Lists!$K$2:$O$61,5,FALSE)),"")</f>
        <v/>
      </c>
      <c r="M261" s="18" t="str">
        <f>IFERROR(IF(K261="","",VLOOKUP(K261,Lists!$K$2:$O$61,2,FALSE)),"")</f>
        <v/>
      </c>
      <c r="N261" s="18" t="str">
        <f>IFERROR(IF(K261="","",VLOOKUP(K261,Lists!$K$2:$O$61,3,FALSE)),"")</f>
        <v/>
      </c>
      <c r="O261" s="19"/>
      <c r="P261" s="31"/>
      <c r="Q261" s="32"/>
      <c r="R261" s="27"/>
    </row>
    <row r="262" ht="13.5" customHeight="1">
      <c r="A262" s="14"/>
      <c r="B262" s="18" t="str">
        <f>IF(A262="","",IFERROR(LOOKUP(A262,Lists!$U$2:$U$14,Lists!$T$2:$T$14),""))</f>
        <v/>
      </c>
      <c r="C262" s="19"/>
      <c r="D262" s="19"/>
      <c r="E262" s="18" t="str">
        <f t="shared" si="1"/>
        <v/>
      </c>
      <c r="F262" s="19"/>
      <c r="G262" s="23"/>
      <c r="H262" s="19"/>
      <c r="I262" s="19"/>
      <c r="J262" s="19"/>
      <c r="K262" s="19"/>
      <c r="L262" s="30" t="str">
        <f>IFERROR(IF(K262="","",VLOOKUP(K262,Lists!$K$2:$O$61,5,FALSE)),"")</f>
        <v/>
      </c>
      <c r="M262" s="18" t="str">
        <f>IFERROR(IF(K262="","",VLOOKUP(K262,Lists!$K$2:$O$61,2,FALSE)),"")</f>
        <v/>
      </c>
      <c r="N262" s="18" t="str">
        <f>IFERROR(IF(K262="","",VLOOKUP(K262,Lists!$K$2:$O$61,3,FALSE)),"")</f>
        <v/>
      </c>
      <c r="O262" s="19"/>
      <c r="P262" s="31"/>
      <c r="Q262" s="32"/>
      <c r="R262" s="27"/>
    </row>
    <row r="263" ht="13.5" customHeight="1">
      <c r="A263" s="14"/>
      <c r="B263" s="18" t="str">
        <f>IF(A263="","",IFERROR(LOOKUP(A263,Lists!$U$2:$U$14,Lists!$T$2:$T$14),""))</f>
        <v/>
      </c>
      <c r="C263" s="19"/>
      <c r="D263" s="19"/>
      <c r="E263" s="18" t="str">
        <f t="shared" si="1"/>
        <v/>
      </c>
      <c r="F263" s="19"/>
      <c r="G263" s="23"/>
      <c r="H263" s="19"/>
      <c r="I263" s="19"/>
      <c r="J263" s="19"/>
      <c r="K263" s="19"/>
      <c r="L263" s="30" t="str">
        <f>IFERROR(IF(K263="","",VLOOKUP(K263,Lists!$K$2:$O$61,5,FALSE)),"")</f>
        <v/>
      </c>
      <c r="M263" s="18" t="str">
        <f>IFERROR(IF(K263="","",VLOOKUP(K263,Lists!$K$2:$O$61,2,FALSE)),"")</f>
        <v/>
      </c>
      <c r="N263" s="18" t="str">
        <f>IFERROR(IF(K263="","",VLOOKUP(K263,Lists!$K$2:$O$61,3,FALSE)),"")</f>
        <v/>
      </c>
      <c r="O263" s="19"/>
      <c r="P263" s="31"/>
      <c r="Q263" s="32"/>
      <c r="R263" s="27"/>
    </row>
    <row r="264" ht="13.5" customHeight="1">
      <c r="A264" s="14"/>
      <c r="B264" s="18" t="str">
        <f>IF(A264="","",IFERROR(LOOKUP(A264,Lists!$U$2:$U$14,Lists!$T$2:$T$14),""))</f>
        <v/>
      </c>
      <c r="C264" s="19"/>
      <c r="D264" s="19"/>
      <c r="E264" s="18" t="str">
        <f t="shared" si="1"/>
        <v/>
      </c>
      <c r="F264" s="19"/>
      <c r="G264" s="23"/>
      <c r="H264" s="19"/>
      <c r="I264" s="19"/>
      <c r="J264" s="19"/>
      <c r="K264" s="19"/>
      <c r="L264" s="30" t="str">
        <f>IFERROR(IF(K264="","",VLOOKUP(K264,Lists!$K$2:$O$61,5,FALSE)),"")</f>
        <v/>
      </c>
      <c r="M264" s="18" t="str">
        <f>IFERROR(IF(K264="","",VLOOKUP(K264,Lists!$K$2:$O$61,2,FALSE)),"")</f>
        <v/>
      </c>
      <c r="N264" s="18" t="str">
        <f>IFERROR(IF(K264="","",VLOOKUP(K264,Lists!$K$2:$O$61,3,FALSE)),"")</f>
        <v/>
      </c>
      <c r="O264" s="19"/>
      <c r="P264" s="31"/>
      <c r="Q264" s="32"/>
      <c r="R264" s="27"/>
    </row>
    <row r="265" ht="13.5" customHeight="1">
      <c r="A265" s="14"/>
      <c r="B265" s="18" t="str">
        <f>IF(A265="","",IFERROR(LOOKUP(A265,Lists!$U$2:$U$14,Lists!$T$2:$T$14),""))</f>
        <v/>
      </c>
      <c r="C265" s="19"/>
      <c r="D265" s="19"/>
      <c r="E265" s="18" t="str">
        <f t="shared" si="1"/>
        <v/>
      </c>
      <c r="F265" s="19"/>
      <c r="G265" s="23"/>
      <c r="H265" s="19"/>
      <c r="I265" s="19"/>
      <c r="J265" s="19"/>
      <c r="K265" s="19"/>
      <c r="L265" s="30" t="str">
        <f>IFERROR(IF(K265="","",VLOOKUP(K265,Lists!$K$2:$O$61,5,FALSE)),"")</f>
        <v/>
      </c>
      <c r="M265" s="18" t="str">
        <f>IFERROR(IF(K265="","",VLOOKUP(K265,Lists!$K$2:$O$61,2,FALSE)),"")</f>
        <v/>
      </c>
      <c r="N265" s="18" t="str">
        <f>IFERROR(IF(K265="","",VLOOKUP(K265,Lists!$K$2:$O$61,3,FALSE)),"")</f>
        <v/>
      </c>
      <c r="O265" s="19"/>
      <c r="P265" s="31"/>
      <c r="Q265" s="32"/>
      <c r="R265" s="27"/>
    </row>
    <row r="266" ht="13.5" customHeight="1">
      <c r="A266" s="14"/>
      <c r="B266" s="18" t="str">
        <f>IF(A266="","",IFERROR(LOOKUP(A266,Lists!$U$2:$U$14,Lists!$T$2:$T$14),""))</f>
        <v/>
      </c>
      <c r="C266" s="19"/>
      <c r="D266" s="19"/>
      <c r="E266" s="18" t="str">
        <f t="shared" si="1"/>
        <v/>
      </c>
      <c r="F266" s="19"/>
      <c r="G266" s="23"/>
      <c r="H266" s="19"/>
      <c r="I266" s="19"/>
      <c r="J266" s="19"/>
      <c r="K266" s="19"/>
      <c r="L266" s="30" t="str">
        <f>IFERROR(IF(K266="","",VLOOKUP(K266,Lists!$K$2:$O$61,5,FALSE)),"")</f>
        <v/>
      </c>
      <c r="M266" s="18" t="str">
        <f>IFERROR(IF(K266="","",VLOOKUP(K266,Lists!$K$2:$O$61,2,FALSE)),"")</f>
        <v/>
      </c>
      <c r="N266" s="18" t="str">
        <f>IFERROR(IF(K266="","",VLOOKUP(K266,Lists!$K$2:$O$61,3,FALSE)),"")</f>
        <v/>
      </c>
      <c r="O266" s="19"/>
      <c r="P266" s="31"/>
      <c r="Q266" s="32"/>
      <c r="R266" s="27"/>
    </row>
    <row r="267" ht="13.5" customHeight="1">
      <c r="A267" s="14"/>
      <c r="B267" s="18" t="str">
        <f>IF(A267="","",IFERROR(LOOKUP(A267,Lists!$U$2:$U$14,Lists!$T$2:$T$14),""))</f>
        <v/>
      </c>
      <c r="C267" s="19"/>
      <c r="D267" s="19"/>
      <c r="E267" s="18" t="str">
        <f t="shared" si="1"/>
        <v/>
      </c>
      <c r="F267" s="19"/>
      <c r="G267" s="23"/>
      <c r="H267" s="19"/>
      <c r="I267" s="19"/>
      <c r="J267" s="19"/>
      <c r="K267" s="19"/>
      <c r="L267" s="30" t="str">
        <f>IFERROR(IF(K267="","",VLOOKUP(K267,Lists!$K$2:$O$61,5,FALSE)),"")</f>
        <v/>
      </c>
      <c r="M267" s="18" t="str">
        <f>IFERROR(IF(K267="","",VLOOKUP(K267,Lists!$K$2:$O$61,2,FALSE)),"")</f>
        <v/>
      </c>
      <c r="N267" s="18" t="str">
        <f>IFERROR(IF(K267="","",VLOOKUP(K267,Lists!$K$2:$O$61,3,FALSE)),"")</f>
        <v/>
      </c>
      <c r="O267" s="19"/>
      <c r="P267" s="31"/>
      <c r="Q267" s="32"/>
      <c r="R267" s="27"/>
    </row>
    <row r="268" ht="13.5" customHeight="1">
      <c r="A268" s="14"/>
      <c r="B268" s="18" t="str">
        <f>IF(A268="","",IFERROR(LOOKUP(A268,Lists!$U$2:$U$14,Lists!$T$2:$T$14),""))</f>
        <v/>
      </c>
      <c r="C268" s="19"/>
      <c r="D268" s="19"/>
      <c r="E268" s="18" t="str">
        <f t="shared" si="1"/>
        <v/>
      </c>
      <c r="F268" s="19"/>
      <c r="G268" s="23"/>
      <c r="H268" s="19"/>
      <c r="I268" s="19"/>
      <c r="J268" s="19"/>
      <c r="K268" s="19"/>
      <c r="L268" s="30" t="str">
        <f>IFERROR(IF(K268="","",VLOOKUP(K268,Lists!$K$2:$O$61,5,FALSE)),"")</f>
        <v/>
      </c>
      <c r="M268" s="18" t="str">
        <f>IFERROR(IF(K268="","",VLOOKUP(K268,Lists!$K$2:$O$61,2,FALSE)),"")</f>
        <v/>
      </c>
      <c r="N268" s="18" t="str">
        <f>IFERROR(IF(K268="","",VLOOKUP(K268,Lists!$K$2:$O$61,3,FALSE)),"")</f>
        <v/>
      </c>
      <c r="O268" s="19"/>
      <c r="P268" s="31"/>
      <c r="Q268" s="32"/>
      <c r="R268" s="27"/>
    </row>
    <row r="269" ht="13.5" customHeight="1">
      <c r="A269" s="14"/>
      <c r="B269" s="18" t="str">
        <f>IF(A269="","",IFERROR(LOOKUP(A269,Lists!$U$2:$U$14,Lists!$T$2:$T$14),""))</f>
        <v/>
      </c>
      <c r="C269" s="19"/>
      <c r="D269" s="19"/>
      <c r="E269" s="18" t="str">
        <f t="shared" si="1"/>
        <v/>
      </c>
      <c r="F269" s="19"/>
      <c r="G269" s="23"/>
      <c r="H269" s="19"/>
      <c r="I269" s="19"/>
      <c r="J269" s="19"/>
      <c r="K269" s="19"/>
      <c r="L269" s="30" t="str">
        <f>IFERROR(IF(K269="","",VLOOKUP(K269,Lists!$K$2:$O$61,5,FALSE)),"")</f>
        <v/>
      </c>
      <c r="M269" s="18" t="str">
        <f>IFERROR(IF(K269="","",VLOOKUP(K269,Lists!$K$2:$O$61,2,FALSE)),"")</f>
        <v/>
      </c>
      <c r="N269" s="18" t="str">
        <f>IFERROR(IF(K269="","",VLOOKUP(K269,Lists!$K$2:$O$61,3,FALSE)),"")</f>
        <v/>
      </c>
      <c r="O269" s="19"/>
      <c r="P269" s="31"/>
      <c r="Q269" s="32"/>
      <c r="R269" s="27"/>
    </row>
    <row r="270" ht="13.5" customHeight="1">
      <c r="A270" s="14"/>
      <c r="B270" s="18" t="str">
        <f>IF(A270="","",IFERROR(LOOKUP(A270,Lists!$U$2:$U$14,Lists!$T$2:$T$14),""))</f>
        <v/>
      </c>
      <c r="C270" s="19"/>
      <c r="D270" s="19"/>
      <c r="E270" s="18" t="str">
        <f t="shared" si="1"/>
        <v/>
      </c>
      <c r="F270" s="19"/>
      <c r="G270" s="23"/>
      <c r="H270" s="19"/>
      <c r="I270" s="19"/>
      <c r="J270" s="19"/>
      <c r="K270" s="19"/>
      <c r="L270" s="30" t="str">
        <f>IFERROR(IF(K270="","",VLOOKUP(K270,Lists!$K$2:$O$61,5,FALSE)),"")</f>
        <v/>
      </c>
      <c r="M270" s="18" t="str">
        <f>IFERROR(IF(K270="","",VLOOKUP(K270,Lists!$K$2:$O$61,2,FALSE)),"")</f>
        <v/>
      </c>
      <c r="N270" s="18" t="str">
        <f>IFERROR(IF(K270="","",VLOOKUP(K270,Lists!$K$2:$O$61,3,FALSE)),"")</f>
        <v/>
      </c>
      <c r="O270" s="19"/>
      <c r="P270" s="31"/>
      <c r="Q270" s="32"/>
      <c r="R270" s="27"/>
    </row>
    <row r="271" ht="13.5" customHeight="1">
      <c r="A271" s="14"/>
      <c r="B271" s="18" t="str">
        <f>IF(A271="","",IFERROR(LOOKUP(A271,Lists!$U$2:$U$14,Lists!$T$2:$T$14),""))</f>
        <v/>
      </c>
      <c r="C271" s="19"/>
      <c r="D271" s="19"/>
      <c r="E271" s="18" t="str">
        <f t="shared" si="1"/>
        <v/>
      </c>
      <c r="F271" s="19"/>
      <c r="G271" s="23"/>
      <c r="H271" s="19"/>
      <c r="I271" s="19"/>
      <c r="J271" s="19"/>
      <c r="K271" s="19"/>
      <c r="L271" s="30" t="str">
        <f>IFERROR(IF(K271="","",VLOOKUP(K271,Lists!$K$2:$O$61,5,FALSE)),"")</f>
        <v/>
      </c>
      <c r="M271" s="18" t="str">
        <f>IFERROR(IF(K271="","",VLOOKUP(K271,Lists!$K$2:$O$61,2,FALSE)),"")</f>
        <v/>
      </c>
      <c r="N271" s="18" t="str">
        <f>IFERROR(IF(K271="","",VLOOKUP(K271,Lists!$K$2:$O$61,3,FALSE)),"")</f>
        <v/>
      </c>
      <c r="O271" s="19"/>
      <c r="P271" s="31"/>
      <c r="Q271" s="32"/>
      <c r="R271" s="27"/>
    </row>
    <row r="272" ht="13.5" customHeight="1">
      <c r="A272" s="14"/>
      <c r="B272" s="18" t="str">
        <f>IF(A272="","",IFERROR(LOOKUP(A272,Lists!$U$2:$U$14,Lists!$T$2:$T$14),""))</f>
        <v/>
      </c>
      <c r="C272" s="19"/>
      <c r="D272" s="19"/>
      <c r="E272" s="18" t="str">
        <f t="shared" si="1"/>
        <v/>
      </c>
      <c r="F272" s="19"/>
      <c r="G272" s="23"/>
      <c r="H272" s="19"/>
      <c r="I272" s="19"/>
      <c r="J272" s="19"/>
      <c r="K272" s="19"/>
      <c r="L272" s="30" t="str">
        <f>IFERROR(IF(K272="","",VLOOKUP(K272,Lists!$K$2:$O$61,5,FALSE)),"")</f>
        <v/>
      </c>
      <c r="M272" s="18" t="str">
        <f>IFERROR(IF(K272="","",VLOOKUP(K272,Lists!$K$2:$O$61,2,FALSE)),"")</f>
        <v/>
      </c>
      <c r="N272" s="18" t="str">
        <f>IFERROR(IF(K272="","",VLOOKUP(K272,Lists!$K$2:$O$61,3,FALSE)),"")</f>
        <v/>
      </c>
      <c r="O272" s="19"/>
      <c r="P272" s="31"/>
      <c r="Q272" s="32"/>
      <c r="R272" s="27"/>
    </row>
    <row r="273" ht="13.5" customHeight="1">
      <c r="A273" s="14"/>
      <c r="B273" s="18" t="str">
        <f>IF(A273="","",IFERROR(LOOKUP(A273,Lists!$U$2:$U$14,Lists!$T$2:$T$14),""))</f>
        <v/>
      </c>
      <c r="C273" s="19"/>
      <c r="D273" s="19"/>
      <c r="E273" s="18" t="str">
        <f t="shared" si="1"/>
        <v/>
      </c>
      <c r="F273" s="19"/>
      <c r="G273" s="23"/>
      <c r="H273" s="19"/>
      <c r="I273" s="19"/>
      <c r="J273" s="19"/>
      <c r="K273" s="19"/>
      <c r="L273" s="30" t="str">
        <f>IFERROR(IF(K273="","",VLOOKUP(K273,Lists!$K$2:$O$61,5,FALSE)),"")</f>
        <v/>
      </c>
      <c r="M273" s="18" t="str">
        <f>IFERROR(IF(K273="","",VLOOKUP(K273,Lists!$K$2:$O$61,2,FALSE)),"")</f>
        <v/>
      </c>
      <c r="N273" s="18" t="str">
        <f>IFERROR(IF(K273="","",VLOOKUP(K273,Lists!$K$2:$O$61,3,FALSE)),"")</f>
        <v/>
      </c>
      <c r="O273" s="19"/>
      <c r="P273" s="31"/>
      <c r="Q273" s="32"/>
      <c r="R273" s="27"/>
    </row>
    <row r="274" ht="13.5" customHeight="1">
      <c r="A274" s="14"/>
      <c r="B274" s="18" t="str">
        <f>IF(A274="","",IFERROR(LOOKUP(A274,Lists!$U$2:$U$14,Lists!$T$2:$T$14),""))</f>
        <v/>
      </c>
      <c r="C274" s="19"/>
      <c r="D274" s="19"/>
      <c r="E274" s="18" t="str">
        <f t="shared" si="1"/>
        <v/>
      </c>
      <c r="F274" s="19"/>
      <c r="G274" s="23"/>
      <c r="H274" s="19"/>
      <c r="I274" s="19"/>
      <c r="J274" s="19"/>
      <c r="K274" s="19"/>
      <c r="L274" s="30" t="str">
        <f>IFERROR(IF(K274="","",VLOOKUP(K274,Lists!$K$2:$O$61,5,FALSE)),"")</f>
        <v/>
      </c>
      <c r="M274" s="18" t="str">
        <f>IFERROR(IF(K274="","",VLOOKUP(K274,Lists!$K$2:$O$61,2,FALSE)),"")</f>
        <v/>
      </c>
      <c r="N274" s="18" t="str">
        <f>IFERROR(IF(K274="","",VLOOKUP(K274,Lists!$K$2:$O$61,3,FALSE)),"")</f>
        <v/>
      </c>
      <c r="O274" s="19"/>
      <c r="P274" s="31"/>
      <c r="Q274" s="32"/>
      <c r="R274" s="27"/>
    </row>
    <row r="275" ht="13.5" customHeight="1">
      <c r="A275" s="14"/>
      <c r="B275" s="18" t="str">
        <f>IF(A275="","",IFERROR(LOOKUP(A275,Lists!$U$2:$U$14,Lists!$T$2:$T$14),""))</f>
        <v/>
      </c>
      <c r="C275" s="19"/>
      <c r="D275" s="19"/>
      <c r="E275" s="18" t="str">
        <f t="shared" si="1"/>
        <v/>
      </c>
      <c r="F275" s="19"/>
      <c r="G275" s="23"/>
      <c r="H275" s="19"/>
      <c r="I275" s="19"/>
      <c r="J275" s="19"/>
      <c r="K275" s="19"/>
      <c r="L275" s="30" t="str">
        <f>IFERROR(IF(K275="","",VLOOKUP(K275,Lists!$K$2:$O$61,5,FALSE)),"")</f>
        <v/>
      </c>
      <c r="M275" s="18" t="str">
        <f>IFERROR(IF(K275="","",VLOOKUP(K275,Lists!$K$2:$O$61,2,FALSE)),"")</f>
        <v/>
      </c>
      <c r="N275" s="18" t="str">
        <f>IFERROR(IF(K275="","",VLOOKUP(K275,Lists!$K$2:$O$61,3,FALSE)),"")</f>
        <v/>
      </c>
      <c r="O275" s="19"/>
      <c r="P275" s="31"/>
      <c r="Q275" s="32"/>
      <c r="R275" s="27"/>
    </row>
    <row r="276" ht="13.5" customHeight="1">
      <c r="A276" s="14"/>
      <c r="B276" s="18" t="str">
        <f>IF(A276="","",IFERROR(LOOKUP(A276,Lists!$U$2:$U$14,Lists!$T$2:$T$14),""))</f>
        <v/>
      </c>
      <c r="C276" s="19"/>
      <c r="D276" s="19"/>
      <c r="E276" s="18" t="str">
        <f t="shared" si="1"/>
        <v/>
      </c>
      <c r="F276" s="19"/>
      <c r="G276" s="23"/>
      <c r="H276" s="19"/>
      <c r="I276" s="19"/>
      <c r="J276" s="19"/>
      <c r="K276" s="19"/>
      <c r="L276" s="30" t="str">
        <f>IFERROR(IF(K276="","",VLOOKUP(K276,Lists!$K$2:$O$61,5,FALSE)),"")</f>
        <v/>
      </c>
      <c r="M276" s="18" t="str">
        <f>IFERROR(IF(K276="","",VLOOKUP(K276,Lists!$K$2:$O$61,2,FALSE)),"")</f>
        <v/>
      </c>
      <c r="N276" s="18" t="str">
        <f>IFERROR(IF(K276="","",VLOOKUP(K276,Lists!$K$2:$O$61,3,FALSE)),"")</f>
        <v/>
      </c>
      <c r="O276" s="19"/>
      <c r="P276" s="31"/>
      <c r="Q276" s="32"/>
      <c r="R276" s="27"/>
    </row>
    <row r="277" ht="13.5" customHeight="1">
      <c r="A277" s="14"/>
      <c r="B277" s="18" t="str">
        <f>IF(A277="","",IFERROR(LOOKUP(A277,Lists!$U$2:$U$14,Lists!$T$2:$T$14),""))</f>
        <v/>
      </c>
      <c r="C277" s="19"/>
      <c r="D277" s="19"/>
      <c r="E277" s="18" t="str">
        <f t="shared" si="1"/>
        <v/>
      </c>
      <c r="F277" s="19"/>
      <c r="G277" s="23"/>
      <c r="H277" s="19"/>
      <c r="I277" s="19"/>
      <c r="J277" s="19"/>
      <c r="K277" s="19"/>
      <c r="L277" s="30" t="str">
        <f>IFERROR(IF(K277="","",VLOOKUP(K277,Lists!$K$2:$O$61,5,FALSE)),"")</f>
        <v/>
      </c>
      <c r="M277" s="18" t="str">
        <f>IFERROR(IF(K277="","",VLOOKUP(K277,Lists!$K$2:$O$61,2,FALSE)),"")</f>
        <v/>
      </c>
      <c r="N277" s="18" t="str">
        <f>IFERROR(IF(K277="","",VLOOKUP(K277,Lists!$K$2:$O$61,3,FALSE)),"")</f>
        <v/>
      </c>
      <c r="O277" s="19"/>
      <c r="P277" s="31"/>
      <c r="Q277" s="32"/>
      <c r="R277" s="27"/>
    </row>
    <row r="278" ht="13.5" customHeight="1">
      <c r="A278" s="14"/>
      <c r="B278" s="18" t="str">
        <f>IF(A278="","",IFERROR(LOOKUP(A278,Lists!$U$2:$U$14,Lists!$T$2:$T$14),""))</f>
        <v/>
      </c>
      <c r="C278" s="19"/>
      <c r="D278" s="19"/>
      <c r="E278" s="18" t="str">
        <f t="shared" si="1"/>
        <v/>
      </c>
      <c r="F278" s="19"/>
      <c r="G278" s="23"/>
      <c r="H278" s="19"/>
      <c r="I278" s="19"/>
      <c r="J278" s="19"/>
      <c r="K278" s="19"/>
      <c r="L278" s="30" t="str">
        <f>IFERROR(IF(K278="","",VLOOKUP(K278,Lists!$K$2:$O$61,5,FALSE)),"")</f>
        <v/>
      </c>
      <c r="M278" s="18" t="str">
        <f>IFERROR(IF(K278="","",VLOOKUP(K278,Lists!$K$2:$O$61,2,FALSE)),"")</f>
        <v/>
      </c>
      <c r="N278" s="18" t="str">
        <f>IFERROR(IF(K278="","",VLOOKUP(K278,Lists!$K$2:$O$61,3,FALSE)),"")</f>
        <v/>
      </c>
      <c r="O278" s="19"/>
      <c r="P278" s="31"/>
      <c r="Q278" s="32"/>
      <c r="R278" s="27"/>
    </row>
    <row r="279" ht="13.5" customHeight="1">
      <c r="A279" s="14"/>
      <c r="B279" s="18" t="str">
        <f>IF(A279="","",IFERROR(LOOKUP(A279,Lists!$U$2:$U$14,Lists!$T$2:$T$14),""))</f>
        <v/>
      </c>
      <c r="C279" s="19"/>
      <c r="D279" s="19"/>
      <c r="E279" s="18" t="str">
        <f t="shared" si="1"/>
        <v/>
      </c>
      <c r="F279" s="19"/>
      <c r="G279" s="23"/>
      <c r="H279" s="19"/>
      <c r="I279" s="19"/>
      <c r="J279" s="19"/>
      <c r="K279" s="19"/>
      <c r="L279" s="30" t="str">
        <f>IFERROR(IF(K279="","",VLOOKUP(K279,Lists!$K$2:$O$61,5,FALSE)),"")</f>
        <v/>
      </c>
      <c r="M279" s="18" t="str">
        <f>IFERROR(IF(K279="","",VLOOKUP(K279,Lists!$K$2:$O$61,2,FALSE)),"")</f>
        <v/>
      </c>
      <c r="N279" s="18" t="str">
        <f>IFERROR(IF(K279="","",VLOOKUP(K279,Lists!$K$2:$O$61,3,FALSE)),"")</f>
        <v/>
      </c>
      <c r="O279" s="19"/>
      <c r="P279" s="31"/>
      <c r="Q279" s="32"/>
      <c r="R279" s="27"/>
    </row>
    <row r="280" ht="13.5" customHeight="1">
      <c r="A280" s="14"/>
      <c r="B280" s="18" t="str">
        <f>IF(A280="","",IFERROR(LOOKUP(A280,Lists!$U$2:$U$14,Lists!$T$2:$T$14),""))</f>
        <v/>
      </c>
      <c r="C280" s="19"/>
      <c r="D280" s="19"/>
      <c r="E280" s="18" t="str">
        <f t="shared" si="1"/>
        <v/>
      </c>
      <c r="F280" s="19"/>
      <c r="G280" s="23"/>
      <c r="H280" s="19"/>
      <c r="I280" s="19"/>
      <c r="J280" s="19"/>
      <c r="K280" s="19"/>
      <c r="L280" s="30" t="str">
        <f>IFERROR(IF(K280="","",VLOOKUP(K280,Lists!$K$2:$O$61,5,FALSE)),"")</f>
        <v/>
      </c>
      <c r="M280" s="18" t="str">
        <f>IFERROR(IF(K280="","",VLOOKUP(K280,Lists!$K$2:$O$61,2,FALSE)),"")</f>
        <v/>
      </c>
      <c r="N280" s="18" t="str">
        <f>IFERROR(IF(K280="","",VLOOKUP(K280,Lists!$K$2:$O$61,3,FALSE)),"")</f>
        <v/>
      </c>
      <c r="O280" s="19"/>
      <c r="P280" s="31"/>
      <c r="Q280" s="32"/>
      <c r="R280" s="27"/>
    </row>
    <row r="281" ht="13.5" customHeight="1">
      <c r="A281" s="14"/>
      <c r="B281" s="18" t="str">
        <f>IF(A281="","",IFERROR(LOOKUP(A281,Lists!$U$2:$U$14,Lists!$T$2:$T$14),""))</f>
        <v/>
      </c>
      <c r="C281" s="19"/>
      <c r="D281" s="19"/>
      <c r="E281" s="18" t="str">
        <f t="shared" si="1"/>
        <v/>
      </c>
      <c r="F281" s="19"/>
      <c r="G281" s="23"/>
      <c r="H281" s="19"/>
      <c r="I281" s="19"/>
      <c r="J281" s="19"/>
      <c r="K281" s="19"/>
      <c r="L281" s="30" t="str">
        <f>IFERROR(IF(K281="","",VLOOKUP(K281,Lists!$K$2:$O$61,5,FALSE)),"")</f>
        <v/>
      </c>
      <c r="M281" s="18" t="str">
        <f>IFERROR(IF(K281="","",VLOOKUP(K281,Lists!$K$2:$O$61,2,FALSE)),"")</f>
        <v/>
      </c>
      <c r="N281" s="18" t="str">
        <f>IFERROR(IF(K281="","",VLOOKUP(K281,Lists!$K$2:$O$61,3,FALSE)),"")</f>
        <v/>
      </c>
      <c r="O281" s="19"/>
      <c r="P281" s="31"/>
      <c r="Q281" s="32"/>
      <c r="R281" s="27"/>
    </row>
    <row r="282" ht="13.5" customHeight="1">
      <c r="A282" s="14"/>
      <c r="B282" s="18" t="str">
        <f>IF(A282="","",IFERROR(LOOKUP(A282,Lists!$U$2:$U$14,Lists!$T$2:$T$14),""))</f>
        <v/>
      </c>
      <c r="C282" s="19"/>
      <c r="D282" s="19"/>
      <c r="E282" s="18" t="str">
        <f t="shared" si="1"/>
        <v/>
      </c>
      <c r="F282" s="19"/>
      <c r="G282" s="23"/>
      <c r="H282" s="19"/>
      <c r="I282" s="19"/>
      <c r="J282" s="19"/>
      <c r="K282" s="19"/>
      <c r="L282" s="30" t="str">
        <f>IFERROR(IF(K282="","",VLOOKUP(K282,Lists!$K$2:$O$61,5,FALSE)),"")</f>
        <v/>
      </c>
      <c r="M282" s="18" t="str">
        <f>IFERROR(IF(K282="","",VLOOKUP(K282,Lists!$K$2:$O$61,2,FALSE)),"")</f>
        <v/>
      </c>
      <c r="N282" s="18" t="str">
        <f>IFERROR(IF(K282="","",VLOOKUP(K282,Lists!$K$2:$O$61,3,FALSE)),"")</f>
        <v/>
      </c>
      <c r="O282" s="19"/>
      <c r="P282" s="31"/>
      <c r="Q282" s="32"/>
      <c r="R282" s="27"/>
    </row>
    <row r="283" ht="13.5" customHeight="1">
      <c r="A283" s="14"/>
      <c r="B283" s="18" t="str">
        <f>IF(A283="","",IFERROR(LOOKUP(A283,Lists!$U$2:$U$14,Lists!$T$2:$T$14),""))</f>
        <v/>
      </c>
      <c r="C283" s="19"/>
      <c r="D283" s="19"/>
      <c r="E283" s="18" t="str">
        <f t="shared" si="1"/>
        <v/>
      </c>
      <c r="F283" s="19"/>
      <c r="G283" s="23"/>
      <c r="H283" s="19"/>
      <c r="I283" s="19"/>
      <c r="J283" s="19"/>
      <c r="K283" s="19"/>
      <c r="L283" s="30" t="str">
        <f>IFERROR(IF(K283="","",VLOOKUP(K283,Lists!$K$2:$O$61,5,FALSE)),"")</f>
        <v/>
      </c>
      <c r="M283" s="18" t="str">
        <f>IFERROR(IF(K283="","",VLOOKUP(K283,Lists!$K$2:$O$61,2,FALSE)),"")</f>
        <v/>
      </c>
      <c r="N283" s="18" t="str">
        <f>IFERROR(IF(K283="","",VLOOKUP(K283,Lists!$K$2:$O$61,3,FALSE)),"")</f>
        <v/>
      </c>
      <c r="O283" s="19"/>
      <c r="P283" s="31"/>
      <c r="Q283" s="32"/>
      <c r="R283" s="27"/>
    </row>
    <row r="284" ht="13.5" customHeight="1">
      <c r="A284" s="14"/>
      <c r="B284" s="18" t="str">
        <f>IF(A284="","",IFERROR(LOOKUP(A284,Lists!$U$2:$U$14,Lists!$T$2:$T$14),""))</f>
        <v/>
      </c>
      <c r="C284" s="19"/>
      <c r="D284" s="19"/>
      <c r="E284" s="18" t="str">
        <f t="shared" si="1"/>
        <v/>
      </c>
      <c r="F284" s="19"/>
      <c r="G284" s="23"/>
      <c r="H284" s="19"/>
      <c r="I284" s="19"/>
      <c r="J284" s="19"/>
      <c r="K284" s="19"/>
      <c r="L284" s="30" t="str">
        <f>IFERROR(IF(K284="","",VLOOKUP(K284,Lists!$K$2:$O$61,5,FALSE)),"")</f>
        <v/>
      </c>
      <c r="M284" s="18" t="str">
        <f>IFERROR(IF(K284="","",VLOOKUP(K284,Lists!$K$2:$O$61,2,FALSE)),"")</f>
        <v/>
      </c>
      <c r="N284" s="18" t="str">
        <f>IFERROR(IF(K284="","",VLOOKUP(K284,Lists!$K$2:$O$61,3,FALSE)),"")</f>
        <v/>
      </c>
      <c r="O284" s="19"/>
      <c r="P284" s="31"/>
      <c r="Q284" s="32"/>
      <c r="R284" s="27"/>
    </row>
    <row r="285" ht="13.5" customHeight="1">
      <c r="A285" s="14"/>
      <c r="B285" s="18" t="str">
        <f>IF(A285="","",IFERROR(LOOKUP(A285,Lists!$U$2:$U$14,Lists!$T$2:$T$14),""))</f>
        <v/>
      </c>
      <c r="C285" s="19"/>
      <c r="D285" s="19"/>
      <c r="E285" s="18" t="str">
        <f t="shared" si="1"/>
        <v/>
      </c>
      <c r="F285" s="19"/>
      <c r="G285" s="23"/>
      <c r="H285" s="19"/>
      <c r="I285" s="19"/>
      <c r="J285" s="19"/>
      <c r="K285" s="19"/>
      <c r="L285" s="30" t="str">
        <f>IFERROR(IF(K285="","",VLOOKUP(K285,Lists!$K$2:$O$61,5,FALSE)),"")</f>
        <v/>
      </c>
      <c r="M285" s="18" t="str">
        <f>IFERROR(IF(K285="","",VLOOKUP(K285,Lists!$K$2:$O$61,2,FALSE)),"")</f>
        <v/>
      </c>
      <c r="N285" s="18" t="str">
        <f>IFERROR(IF(K285="","",VLOOKUP(K285,Lists!$K$2:$O$61,3,FALSE)),"")</f>
        <v/>
      </c>
      <c r="O285" s="19"/>
      <c r="P285" s="31"/>
      <c r="Q285" s="32"/>
      <c r="R285" s="27"/>
    </row>
    <row r="286" ht="13.5" customHeight="1">
      <c r="A286" s="14"/>
      <c r="B286" s="18" t="str">
        <f>IF(A286="","",IFERROR(LOOKUP(A286,Lists!$U$2:$U$14,Lists!$T$2:$T$14),""))</f>
        <v/>
      </c>
      <c r="C286" s="19"/>
      <c r="D286" s="19"/>
      <c r="E286" s="18" t="str">
        <f t="shared" si="1"/>
        <v/>
      </c>
      <c r="F286" s="19"/>
      <c r="G286" s="23"/>
      <c r="H286" s="19"/>
      <c r="I286" s="19"/>
      <c r="J286" s="19"/>
      <c r="K286" s="19"/>
      <c r="L286" s="30" t="str">
        <f>IFERROR(IF(K286="","",VLOOKUP(K286,Lists!$K$2:$O$61,5,FALSE)),"")</f>
        <v/>
      </c>
      <c r="M286" s="18" t="str">
        <f>IFERROR(IF(K286="","",VLOOKUP(K286,Lists!$K$2:$O$61,2,FALSE)),"")</f>
        <v/>
      </c>
      <c r="N286" s="18" t="str">
        <f>IFERROR(IF(K286="","",VLOOKUP(K286,Lists!$K$2:$O$61,3,FALSE)),"")</f>
        <v/>
      </c>
      <c r="O286" s="19"/>
      <c r="P286" s="31"/>
      <c r="Q286" s="32"/>
      <c r="R286" s="27"/>
    </row>
    <row r="287" ht="13.5" customHeight="1">
      <c r="A287" s="14"/>
      <c r="B287" s="18" t="str">
        <f>IF(A287="","",IFERROR(LOOKUP(A287,Lists!$U$2:$U$14,Lists!$T$2:$T$14),""))</f>
        <v/>
      </c>
      <c r="C287" s="19"/>
      <c r="D287" s="19"/>
      <c r="E287" s="18" t="str">
        <f t="shared" si="1"/>
        <v/>
      </c>
      <c r="F287" s="19"/>
      <c r="G287" s="23"/>
      <c r="H287" s="19"/>
      <c r="I287" s="19"/>
      <c r="J287" s="19"/>
      <c r="K287" s="19"/>
      <c r="L287" s="30" t="str">
        <f>IFERROR(IF(K287="","",VLOOKUP(K287,Lists!$K$2:$O$61,5,FALSE)),"")</f>
        <v/>
      </c>
      <c r="M287" s="18" t="str">
        <f>IFERROR(IF(K287="","",VLOOKUP(K287,Lists!$K$2:$O$61,2,FALSE)),"")</f>
        <v/>
      </c>
      <c r="N287" s="18" t="str">
        <f>IFERROR(IF(K287="","",VLOOKUP(K287,Lists!$K$2:$O$61,3,FALSE)),"")</f>
        <v/>
      </c>
      <c r="O287" s="19"/>
      <c r="P287" s="31"/>
      <c r="Q287" s="32"/>
      <c r="R287" s="27"/>
    </row>
    <row r="288" ht="13.5" customHeight="1">
      <c r="A288" s="14"/>
      <c r="B288" s="18" t="str">
        <f>IF(A288="","",IFERROR(LOOKUP(A288,Lists!$U$2:$U$14,Lists!$T$2:$T$14),""))</f>
        <v/>
      </c>
      <c r="C288" s="19"/>
      <c r="D288" s="19"/>
      <c r="E288" s="18" t="str">
        <f t="shared" si="1"/>
        <v/>
      </c>
      <c r="F288" s="19"/>
      <c r="G288" s="23"/>
      <c r="H288" s="19"/>
      <c r="I288" s="19"/>
      <c r="J288" s="19"/>
      <c r="K288" s="19"/>
      <c r="L288" s="30" t="str">
        <f>IFERROR(IF(K288="","",VLOOKUP(K288,Lists!$K$2:$O$61,5,FALSE)),"")</f>
        <v/>
      </c>
      <c r="M288" s="18" t="str">
        <f>IFERROR(IF(K288="","",VLOOKUP(K288,Lists!$K$2:$O$61,2,FALSE)),"")</f>
        <v/>
      </c>
      <c r="N288" s="18" t="str">
        <f>IFERROR(IF(K288="","",VLOOKUP(K288,Lists!$K$2:$O$61,3,FALSE)),"")</f>
        <v/>
      </c>
      <c r="O288" s="19"/>
      <c r="P288" s="31"/>
      <c r="Q288" s="32"/>
      <c r="R288" s="27"/>
    </row>
    <row r="289" ht="13.5" customHeight="1">
      <c r="A289" s="14"/>
      <c r="B289" s="18" t="str">
        <f>IF(A289="","",IFERROR(LOOKUP(A289,Lists!$U$2:$U$14,Lists!$T$2:$T$14),""))</f>
        <v/>
      </c>
      <c r="C289" s="19"/>
      <c r="D289" s="19"/>
      <c r="E289" s="18" t="str">
        <f t="shared" si="1"/>
        <v/>
      </c>
      <c r="F289" s="19"/>
      <c r="G289" s="23"/>
      <c r="H289" s="19"/>
      <c r="I289" s="19"/>
      <c r="J289" s="19"/>
      <c r="K289" s="19"/>
      <c r="L289" s="30" t="str">
        <f>IFERROR(IF(K289="","",VLOOKUP(K289,Lists!$K$2:$O$61,5,FALSE)),"")</f>
        <v/>
      </c>
      <c r="M289" s="18" t="str">
        <f>IFERROR(IF(K289="","",VLOOKUP(K289,Lists!$K$2:$O$61,2,FALSE)),"")</f>
        <v/>
      </c>
      <c r="N289" s="18" t="str">
        <f>IFERROR(IF(K289="","",VLOOKUP(K289,Lists!$K$2:$O$61,3,FALSE)),"")</f>
        <v/>
      </c>
      <c r="O289" s="19"/>
      <c r="P289" s="31"/>
      <c r="Q289" s="32"/>
      <c r="R289" s="27"/>
    </row>
    <row r="290" ht="13.5" customHeight="1">
      <c r="A290" s="14"/>
      <c r="B290" s="18" t="str">
        <f>IF(A290="","",IFERROR(LOOKUP(A290,Lists!$U$2:$U$14,Lists!$T$2:$T$14),""))</f>
        <v/>
      </c>
      <c r="C290" s="19"/>
      <c r="D290" s="19"/>
      <c r="E290" s="18" t="str">
        <f t="shared" si="1"/>
        <v/>
      </c>
      <c r="F290" s="19"/>
      <c r="G290" s="23"/>
      <c r="H290" s="19"/>
      <c r="I290" s="19"/>
      <c r="J290" s="19"/>
      <c r="K290" s="19"/>
      <c r="L290" s="30" t="str">
        <f>IFERROR(IF(K290="","",VLOOKUP(K290,Lists!$K$2:$O$61,5,FALSE)),"")</f>
        <v/>
      </c>
      <c r="M290" s="18" t="str">
        <f>IFERROR(IF(K290="","",VLOOKUP(K290,Lists!$K$2:$O$61,2,FALSE)),"")</f>
        <v/>
      </c>
      <c r="N290" s="18" t="str">
        <f>IFERROR(IF(K290="","",VLOOKUP(K290,Lists!$K$2:$O$61,3,FALSE)),"")</f>
        <v/>
      </c>
      <c r="O290" s="19"/>
      <c r="P290" s="31"/>
      <c r="Q290" s="32"/>
      <c r="R290" s="27"/>
    </row>
    <row r="291" ht="13.5" customHeight="1">
      <c r="A291" s="14"/>
      <c r="B291" s="18" t="str">
        <f>IF(A291="","",IFERROR(LOOKUP(A291,Lists!$U$2:$U$14,Lists!$T$2:$T$14),""))</f>
        <v/>
      </c>
      <c r="C291" s="19"/>
      <c r="D291" s="19"/>
      <c r="E291" s="18" t="str">
        <f t="shared" si="1"/>
        <v/>
      </c>
      <c r="F291" s="19"/>
      <c r="G291" s="23"/>
      <c r="H291" s="19"/>
      <c r="I291" s="19"/>
      <c r="J291" s="19"/>
      <c r="K291" s="19"/>
      <c r="L291" s="30" t="str">
        <f>IFERROR(IF(K291="","",VLOOKUP(K291,Lists!$K$2:$O$61,5,FALSE)),"")</f>
        <v/>
      </c>
      <c r="M291" s="18" t="str">
        <f>IFERROR(IF(K291="","",VLOOKUP(K291,Lists!$K$2:$O$61,2,FALSE)),"")</f>
        <v/>
      </c>
      <c r="N291" s="18" t="str">
        <f>IFERROR(IF(K291="","",VLOOKUP(K291,Lists!$K$2:$O$61,3,FALSE)),"")</f>
        <v/>
      </c>
      <c r="O291" s="19"/>
      <c r="P291" s="31"/>
      <c r="Q291" s="32"/>
      <c r="R291" s="27"/>
    </row>
    <row r="292" ht="13.5" customHeight="1">
      <c r="A292" s="14"/>
      <c r="B292" s="18" t="str">
        <f>IF(A292="","",IFERROR(LOOKUP(A292,Lists!$U$2:$U$14,Lists!$T$2:$T$14),""))</f>
        <v/>
      </c>
      <c r="C292" s="19"/>
      <c r="D292" s="19"/>
      <c r="E292" s="18" t="str">
        <f t="shared" si="1"/>
        <v/>
      </c>
      <c r="F292" s="19"/>
      <c r="G292" s="23"/>
      <c r="H292" s="19"/>
      <c r="I292" s="19"/>
      <c r="J292" s="19"/>
      <c r="K292" s="19"/>
      <c r="L292" s="30" t="str">
        <f>IFERROR(IF(K292="","",VLOOKUP(K292,Lists!$K$2:$O$61,5,FALSE)),"")</f>
        <v/>
      </c>
      <c r="M292" s="18" t="str">
        <f>IFERROR(IF(K292="","",VLOOKUP(K292,Lists!$K$2:$O$61,2,FALSE)),"")</f>
        <v/>
      </c>
      <c r="N292" s="18" t="str">
        <f>IFERROR(IF(K292="","",VLOOKUP(K292,Lists!$K$2:$O$61,3,FALSE)),"")</f>
        <v/>
      </c>
      <c r="O292" s="19"/>
      <c r="P292" s="31"/>
      <c r="Q292" s="32"/>
      <c r="R292" s="27"/>
    </row>
    <row r="293" ht="13.5" customHeight="1">
      <c r="A293" s="14"/>
      <c r="B293" s="18" t="str">
        <f>IF(A293="","",IFERROR(LOOKUP(A293,Lists!$U$2:$U$14,Lists!$T$2:$T$14),""))</f>
        <v/>
      </c>
      <c r="C293" s="19"/>
      <c r="D293" s="19"/>
      <c r="E293" s="18" t="str">
        <f t="shared" si="1"/>
        <v/>
      </c>
      <c r="F293" s="19"/>
      <c r="G293" s="23"/>
      <c r="H293" s="19"/>
      <c r="I293" s="19"/>
      <c r="J293" s="19"/>
      <c r="K293" s="19"/>
      <c r="L293" s="30" t="str">
        <f>IFERROR(IF(K293="","",VLOOKUP(K293,Lists!$K$2:$O$61,5,FALSE)),"")</f>
        <v/>
      </c>
      <c r="M293" s="18" t="str">
        <f>IFERROR(IF(K293="","",VLOOKUP(K293,Lists!$K$2:$O$61,2,FALSE)),"")</f>
        <v/>
      </c>
      <c r="N293" s="18" t="str">
        <f>IFERROR(IF(K293="","",VLOOKUP(K293,Lists!$K$2:$O$61,3,FALSE)),"")</f>
        <v/>
      </c>
      <c r="O293" s="19"/>
      <c r="P293" s="31"/>
      <c r="Q293" s="32"/>
      <c r="R293" s="27"/>
    </row>
    <row r="294" ht="13.5" customHeight="1">
      <c r="A294" s="14"/>
      <c r="B294" s="18" t="str">
        <f>IF(A294="","",IFERROR(LOOKUP(A294,Lists!$U$2:$U$14,Lists!$T$2:$T$14),""))</f>
        <v/>
      </c>
      <c r="C294" s="19"/>
      <c r="D294" s="19"/>
      <c r="E294" s="18" t="str">
        <f t="shared" si="1"/>
        <v/>
      </c>
      <c r="F294" s="19"/>
      <c r="G294" s="23"/>
      <c r="H294" s="19"/>
      <c r="I294" s="19"/>
      <c r="J294" s="19"/>
      <c r="K294" s="19"/>
      <c r="L294" s="30" t="str">
        <f>IFERROR(IF(K294="","",VLOOKUP(K294,Lists!$K$2:$O$61,5,FALSE)),"")</f>
        <v/>
      </c>
      <c r="M294" s="18" t="str">
        <f>IFERROR(IF(K294="","",VLOOKUP(K294,Lists!$K$2:$O$61,2,FALSE)),"")</f>
        <v/>
      </c>
      <c r="N294" s="18" t="str">
        <f>IFERROR(IF(K294="","",VLOOKUP(K294,Lists!$K$2:$O$61,3,FALSE)),"")</f>
        <v/>
      </c>
      <c r="O294" s="19"/>
      <c r="P294" s="31"/>
      <c r="Q294" s="32"/>
      <c r="R294" s="27"/>
    </row>
    <row r="295" ht="13.5" customHeight="1">
      <c r="A295" s="14"/>
      <c r="B295" s="18" t="str">
        <f>IF(A295="","",IFERROR(LOOKUP(A295,Lists!$U$2:$U$14,Lists!$T$2:$T$14),""))</f>
        <v/>
      </c>
      <c r="C295" s="19"/>
      <c r="D295" s="19"/>
      <c r="E295" s="18" t="str">
        <f t="shared" si="1"/>
        <v/>
      </c>
      <c r="F295" s="19"/>
      <c r="G295" s="23"/>
      <c r="H295" s="19"/>
      <c r="I295" s="19"/>
      <c r="J295" s="19"/>
      <c r="K295" s="19"/>
      <c r="L295" s="30" t="str">
        <f>IFERROR(IF(K295="","",VLOOKUP(K295,Lists!$K$2:$O$61,5,FALSE)),"")</f>
        <v/>
      </c>
      <c r="M295" s="18" t="str">
        <f>IFERROR(IF(K295="","",VLOOKUP(K295,Lists!$K$2:$O$61,2,FALSE)),"")</f>
        <v/>
      </c>
      <c r="N295" s="18" t="str">
        <f>IFERROR(IF(K295="","",VLOOKUP(K295,Lists!$K$2:$O$61,3,FALSE)),"")</f>
        <v/>
      </c>
      <c r="O295" s="19"/>
      <c r="P295" s="31"/>
      <c r="Q295" s="32"/>
      <c r="R295" s="27"/>
    </row>
    <row r="296" ht="13.5" customHeight="1">
      <c r="A296" s="14"/>
      <c r="B296" s="18" t="str">
        <f>IF(A296="","",IFERROR(LOOKUP(A296,Lists!$U$2:$U$14,Lists!$T$2:$T$14),""))</f>
        <v/>
      </c>
      <c r="C296" s="19"/>
      <c r="D296" s="19"/>
      <c r="E296" s="18" t="str">
        <f t="shared" si="1"/>
        <v/>
      </c>
      <c r="F296" s="19"/>
      <c r="G296" s="23"/>
      <c r="H296" s="19"/>
      <c r="I296" s="19"/>
      <c r="J296" s="19"/>
      <c r="K296" s="19"/>
      <c r="L296" s="30" t="str">
        <f>IFERROR(IF(K296="","",VLOOKUP(K296,Lists!$K$2:$O$61,5,FALSE)),"")</f>
        <v/>
      </c>
      <c r="M296" s="18" t="str">
        <f>IFERROR(IF(K296="","",VLOOKUP(K296,Lists!$K$2:$O$61,2,FALSE)),"")</f>
        <v/>
      </c>
      <c r="N296" s="18" t="str">
        <f>IFERROR(IF(K296="","",VLOOKUP(K296,Lists!$K$2:$O$61,3,FALSE)),"")</f>
        <v/>
      </c>
      <c r="O296" s="19"/>
      <c r="P296" s="31"/>
      <c r="Q296" s="32"/>
      <c r="R296" s="27"/>
    </row>
    <row r="297" ht="13.5" customHeight="1">
      <c r="A297" s="14"/>
      <c r="B297" s="18" t="str">
        <f>IF(A297="","",IFERROR(LOOKUP(A297,Lists!$U$2:$U$14,Lists!$T$2:$T$14),""))</f>
        <v/>
      </c>
      <c r="C297" s="19"/>
      <c r="D297" s="19"/>
      <c r="E297" s="18" t="str">
        <f t="shared" si="1"/>
        <v/>
      </c>
      <c r="F297" s="19"/>
      <c r="G297" s="23"/>
      <c r="H297" s="19"/>
      <c r="I297" s="19"/>
      <c r="J297" s="19"/>
      <c r="K297" s="19"/>
      <c r="L297" s="30" t="str">
        <f>IFERROR(IF(K297="","",VLOOKUP(K297,Lists!$K$2:$O$61,5,FALSE)),"")</f>
        <v/>
      </c>
      <c r="M297" s="18" t="str">
        <f>IFERROR(IF(K297="","",VLOOKUP(K297,Lists!$K$2:$O$61,2,FALSE)),"")</f>
        <v/>
      </c>
      <c r="N297" s="18" t="str">
        <f>IFERROR(IF(K297="","",VLOOKUP(K297,Lists!$K$2:$O$61,3,FALSE)),"")</f>
        <v/>
      </c>
      <c r="O297" s="19"/>
      <c r="P297" s="31"/>
      <c r="Q297" s="32"/>
      <c r="R297" s="27"/>
    </row>
    <row r="298" ht="13.5" customHeight="1">
      <c r="A298" s="14"/>
      <c r="B298" s="18" t="str">
        <f>IF(A298="","",IFERROR(LOOKUP(A298,Lists!$U$2:$U$14,Lists!$T$2:$T$14),""))</f>
        <v/>
      </c>
      <c r="C298" s="19"/>
      <c r="D298" s="19"/>
      <c r="E298" s="18" t="str">
        <f t="shared" si="1"/>
        <v/>
      </c>
      <c r="F298" s="19"/>
      <c r="G298" s="23"/>
      <c r="H298" s="19"/>
      <c r="I298" s="19"/>
      <c r="J298" s="19"/>
      <c r="K298" s="19"/>
      <c r="L298" s="30" t="str">
        <f>IFERROR(IF(K298="","",VLOOKUP(K298,Lists!$K$2:$O$61,5,FALSE)),"")</f>
        <v/>
      </c>
      <c r="M298" s="18" t="str">
        <f>IFERROR(IF(K298="","",VLOOKUP(K298,Lists!$K$2:$O$61,2,FALSE)),"")</f>
        <v/>
      </c>
      <c r="N298" s="18" t="str">
        <f>IFERROR(IF(K298="","",VLOOKUP(K298,Lists!$K$2:$O$61,3,FALSE)),"")</f>
        <v/>
      </c>
      <c r="O298" s="19"/>
      <c r="P298" s="31"/>
      <c r="Q298" s="32"/>
      <c r="R298" s="27"/>
    </row>
    <row r="299" ht="13.5" customHeight="1">
      <c r="A299" s="14"/>
      <c r="B299" s="18" t="str">
        <f>IF(A299="","",IFERROR(LOOKUP(A299,Lists!$U$2:$U$14,Lists!$T$2:$T$14),""))</f>
        <v/>
      </c>
      <c r="C299" s="19"/>
      <c r="D299" s="19"/>
      <c r="E299" s="18" t="str">
        <f t="shared" si="1"/>
        <v/>
      </c>
      <c r="F299" s="19"/>
      <c r="G299" s="23"/>
      <c r="H299" s="19"/>
      <c r="I299" s="19"/>
      <c r="J299" s="19"/>
      <c r="K299" s="19"/>
      <c r="L299" s="30" t="str">
        <f>IFERROR(IF(K299="","",VLOOKUP(K299,Lists!$K$2:$O$61,5,FALSE)),"")</f>
        <v/>
      </c>
      <c r="M299" s="18" t="str">
        <f>IFERROR(IF(K299="","",VLOOKUP(K299,Lists!$K$2:$O$61,2,FALSE)),"")</f>
        <v/>
      </c>
      <c r="N299" s="18" t="str">
        <f>IFERROR(IF(K299="","",VLOOKUP(K299,Lists!$K$2:$O$61,3,FALSE)),"")</f>
        <v/>
      </c>
      <c r="O299" s="19"/>
      <c r="P299" s="31"/>
      <c r="Q299" s="32"/>
      <c r="R299" s="27"/>
    </row>
    <row r="300" ht="13.5" customHeight="1">
      <c r="A300" s="14"/>
      <c r="B300" s="18" t="str">
        <f>IF(A300="","",IFERROR(LOOKUP(A300,Lists!$U$2:$U$14,Lists!$T$2:$T$14),""))</f>
        <v/>
      </c>
      <c r="C300" s="19"/>
      <c r="D300" s="19"/>
      <c r="E300" s="18" t="str">
        <f t="shared" si="1"/>
        <v/>
      </c>
      <c r="F300" s="19"/>
      <c r="G300" s="23"/>
      <c r="H300" s="19"/>
      <c r="I300" s="19"/>
      <c r="J300" s="19"/>
      <c r="K300" s="19"/>
      <c r="L300" s="30" t="str">
        <f>IFERROR(IF(K300="","",VLOOKUP(K300,Lists!$K$2:$O$61,5,FALSE)),"")</f>
        <v/>
      </c>
      <c r="M300" s="18" t="str">
        <f>IFERROR(IF(K300="","",VLOOKUP(K300,Lists!$K$2:$O$61,2,FALSE)),"")</f>
        <v/>
      </c>
      <c r="N300" s="18" t="str">
        <f>IFERROR(IF(K300="","",VLOOKUP(K300,Lists!$K$2:$O$61,3,FALSE)),"")</f>
        <v/>
      </c>
      <c r="O300" s="19"/>
      <c r="P300" s="31"/>
      <c r="Q300" s="32"/>
      <c r="R300" s="27"/>
    </row>
    <row r="301" ht="13.5" customHeight="1">
      <c r="A301" s="14"/>
      <c r="B301" s="18" t="str">
        <f>IF(A301="","",IFERROR(LOOKUP(A301,Lists!$U$2:$U$14,Lists!$T$2:$T$14),""))</f>
        <v/>
      </c>
      <c r="C301" s="19"/>
      <c r="D301" s="19"/>
      <c r="E301" s="18" t="str">
        <f t="shared" si="1"/>
        <v/>
      </c>
      <c r="F301" s="19"/>
      <c r="G301" s="23"/>
      <c r="H301" s="19"/>
      <c r="I301" s="19"/>
      <c r="J301" s="19"/>
      <c r="K301" s="19"/>
      <c r="L301" s="30" t="str">
        <f>IFERROR(IF(K301="","",VLOOKUP(K301,Lists!$K$2:$O$61,5,FALSE)),"")</f>
        <v/>
      </c>
      <c r="M301" s="18" t="str">
        <f>IFERROR(IF(K301="","",VLOOKUP(K301,Lists!$K$2:$O$61,2,FALSE)),"")</f>
        <v/>
      </c>
      <c r="N301" s="18" t="str">
        <f>IFERROR(IF(K301="","",VLOOKUP(K301,Lists!$K$2:$O$61,3,FALSE)),"")</f>
        <v/>
      </c>
      <c r="O301" s="19"/>
      <c r="P301" s="31"/>
      <c r="Q301" s="32"/>
      <c r="R301" s="27"/>
    </row>
    <row r="302" ht="13.5" customHeight="1">
      <c r="A302" s="14"/>
      <c r="B302" s="18" t="str">
        <f>IF(A302="","",IFERROR(LOOKUP(A302,Lists!$U$2:$U$14,Lists!$T$2:$T$14),""))</f>
        <v/>
      </c>
      <c r="C302" s="19"/>
      <c r="D302" s="19"/>
      <c r="E302" s="18" t="str">
        <f t="shared" si="1"/>
        <v/>
      </c>
      <c r="F302" s="19"/>
      <c r="G302" s="23"/>
      <c r="H302" s="19"/>
      <c r="I302" s="19"/>
      <c r="J302" s="19"/>
      <c r="K302" s="19"/>
      <c r="L302" s="30" t="str">
        <f>IFERROR(IF(K302="","",VLOOKUP(K302,Lists!$K$2:$O$61,5,FALSE)),"")</f>
        <v/>
      </c>
      <c r="M302" s="18" t="str">
        <f>IFERROR(IF(K302="","",VLOOKUP(K302,Lists!$K$2:$O$61,2,FALSE)),"")</f>
        <v/>
      </c>
      <c r="N302" s="18" t="str">
        <f>IFERROR(IF(K302="","",VLOOKUP(K302,Lists!$K$2:$O$61,3,FALSE)),"")</f>
        <v/>
      </c>
      <c r="O302" s="19"/>
      <c r="P302" s="31"/>
      <c r="Q302" s="32"/>
      <c r="R302" s="27"/>
    </row>
    <row r="303" ht="13.5" customHeight="1">
      <c r="A303" s="14"/>
      <c r="B303" s="18" t="str">
        <f>IF(A303="","",IFERROR(LOOKUP(A303,Lists!$U$2:$U$14,Lists!$T$2:$T$14),""))</f>
        <v/>
      </c>
      <c r="C303" s="19"/>
      <c r="D303" s="19"/>
      <c r="E303" s="18" t="str">
        <f t="shared" si="1"/>
        <v/>
      </c>
      <c r="F303" s="19"/>
      <c r="G303" s="23"/>
      <c r="H303" s="19"/>
      <c r="I303" s="19"/>
      <c r="J303" s="19"/>
      <c r="K303" s="19"/>
      <c r="L303" s="30" t="str">
        <f>IFERROR(IF(K303="","",VLOOKUP(K303,Lists!$K$2:$O$61,5,FALSE)),"")</f>
        <v/>
      </c>
      <c r="M303" s="18" t="str">
        <f>IFERROR(IF(K303="","",VLOOKUP(K303,Lists!$K$2:$O$61,2,FALSE)),"")</f>
        <v/>
      </c>
      <c r="N303" s="18" t="str">
        <f>IFERROR(IF(K303="","",VLOOKUP(K303,Lists!$K$2:$O$61,3,FALSE)),"")</f>
        <v/>
      </c>
      <c r="O303" s="19"/>
      <c r="P303" s="31"/>
      <c r="Q303" s="32"/>
      <c r="R303" s="27"/>
    </row>
    <row r="304" ht="13.5" customHeight="1">
      <c r="A304" s="14"/>
      <c r="B304" s="18" t="str">
        <f>IF(A304="","",IFERROR(LOOKUP(A304,Lists!$U$2:$U$14,Lists!$T$2:$T$14),""))</f>
        <v/>
      </c>
      <c r="C304" s="19"/>
      <c r="D304" s="19"/>
      <c r="E304" s="18" t="str">
        <f t="shared" si="1"/>
        <v/>
      </c>
      <c r="F304" s="19"/>
      <c r="G304" s="23"/>
      <c r="H304" s="19"/>
      <c r="I304" s="19"/>
      <c r="J304" s="19"/>
      <c r="K304" s="19"/>
      <c r="L304" s="30" t="str">
        <f>IFERROR(IF(K304="","",VLOOKUP(K304,Lists!$K$2:$O$61,5,FALSE)),"")</f>
        <v/>
      </c>
      <c r="M304" s="18" t="str">
        <f>IFERROR(IF(K304="","",VLOOKUP(K304,Lists!$K$2:$O$61,2,FALSE)),"")</f>
        <v/>
      </c>
      <c r="N304" s="18" t="str">
        <f>IFERROR(IF(K304="","",VLOOKUP(K304,Lists!$K$2:$O$61,3,FALSE)),"")</f>
        <v/>
      </c>
      <c r="O304" s="19"/>
      <c r="P304" s="31"/>
      <c r="Q304" s="32"/>
      <c r="R304" s="27"/>
    </row>
    <row r="305" ht="13.5" customHeight="1">
      <c r="A305" s="14"/>
      <c r="B305" s="18" t="str">
        <f>IF(A305="","",IFERROR(LOOKUP(A305,Lists!$U$2:$U$14,Lists!$T$2:$T$14),""))</f>
        <v/>
      </c>
      <c r="C305" s="19"/>
      <c r="D305" s="19"/>
      <c r="E305" s="18" t="str">
        <f t="shared" si="1"/>
        <v/>
      </c>
      <c r="F305" s="19"/>
      <c r="G305" s="23"/>
      <c r="H305" s="19"/>
      <c r="I305" s="19"/>
      <c r="J305" s="19"/>
      <c r="K305" s="19"/>
      <c r="L305" s="30" t="str">
        <f>IFERROR(IF(K305="","",VLOOKUP(K305,Lists!$K$2:$O$61,5,FALSE)),"")</f>
        <v/>
      </c>
      <c r="M305" s="18" t="str">
        <f>IFERROR(IF(K305="","",VLOOKUP(K305,Lists!$K$2:$O$61,2,FALSE)),"")</f>
        <v/>
      </c>
      <c r="N305" s="18" t="str">
        <f>IFERROR(IF(K305="","",VLOOKUP(K305,Lists!$K$2:$O$61,3,FALSE)),"")</f>
        <v/>
      </c>
      <c r="O305" s="19"/>
      <c r="P305" s="31"/>
      <c r="Q305" s="32"/>
      <c r="R305" s="27"/>
    </row>
    <row r="306" ht="13.5" customHeight="1">
      <c r="A306" s="14"/>
      <c r="B306" s="18" t="str">
        <f>IF(A306="","",IFERROR(LOOKUP(A306,Lists!$U$2:$U$14,Lists!$T$2:$T$14),""))</f>
        <v/>
      </c>
      <c r="C306" s="19"/>
      <c r="D306" s="19"/>
      <c r="E306" s="18" t="str">
        <f t="shared" si="1"/>
        <v/>
      </c>
      <c r="F306" s="19"/>
      <c r="G306" s="23"/>
      <c r="H306" s="19"/>
      <c r="I306" s="19"/>
      <c r="J306" s="19"/>
      <c r="K306" s="19"/>
      <c r="L306" s="30" t="str">
        <f>IFERROR(IF(K306="","",VLOOKUP(K306,Lists!$K$2:$O$61,5,FALSE)),"")</f>
        <v/>
      </c>
      <c r="M306" s="18" t="str">
        <f>IFERROR(IF(K306="","",VLOOKUP(K306,Lists!$K$2:$O$61,2,FALSE)),"")</f>
        <v/>
      </c>
      <c r="N306" s="18" t="str">
        <f>IFERROR(IF(K306="","",VLOOKUP(K306,Lists!$K$2:$O$61,3,FALSE)),"")</f>
        <v/>
      </c>
      <c r="O306" s="19"/>
      <c r="P306" s="31"/>
      <c r="Q306" s="32"/>
      <c r="R306" s="27"/>
    </row>
    <row r="307" ht="13.5" customHeight="1">
      <c r="A307" s="14"/>
      <c r="B307" s="18" t="str">
        <f>IF(A307="","",IFERROR(LOOKUP(A307,Lists!$U$2:$U$14,Lists!$T$2:$T$14),""))</f>
        <v/>
      </c>
      <c r="C307" s="19"/>
      <c r="D307" s="19"/>
      <c r="E307" s="18" t="str">
        <f t="shared" si="1"/>
        <v/>
      </c>
      <c r="F307" s="19"/>
      <c r="G307" s="23"/>
      <c r="H307" s="19"/>
      <c r="I307" s="19"/>
      <c r="J307" s="19"/>
      <c r="K307" s="19"/>
      <c r="L307" s="30" t="str">
        <f>IFERROR(IF(K307="","",VLOOKUP(K307,Lists!$K$2:$O$61,5,FALSE)),"")</f>
        <v/>
      </c>
      <c r="M307" s="18" t="str">
        <f>IFERROR(IF(K307="","",VLOOKUP(K307,Lists!$K$2:$O$61,2,FALSE)),"")</f>
        <v/>
      </c>
      <c r="N307" s="18" t="str">
        <f>IFERROR(IF(K307="","",VLOOKUP(K307,Lists!$K$2:$O$61,3,FALSE)),"")</f>
        <v/>
      </c>
      <c r="O307" s="19"/>
      <c r="P307" s="31"/>
      <c r="Q307" s="32"/>
      <c r="R307" s="27"/>
    </row>
    <row r="308" ht="13.5" customHeight="1">
      <c r="A308" s="14"/>
      <c r="B308" s="18" t="str">
        <f>IF(A308="","",IFERROR(LOOKUP(A308,Lists!$U$2:$U$14,Lists!$T$2:$T$14),""))</f>
        <v/>
      </c>
      <c r="C308" s="19"/>
      <c r="D308" s="19"/>
      <c r="E308" s="18" t="str">
        <f t="shared" si="1"/>
        <v/>
      </c>
      <c r="F308" s="19"/>
      <c r="G308" s="23"/>
      <c r="H308" s="19"/>
      <c r="I308" s="19"/>
      <c r="J308" s="19"/>
      <c r="K308" s="19"/>
      <c r="L308" s="30" t="str">
        <f>IFERROR(IF(K308="","",VLOOKUP(K308,Lists!$K$2:$O$61,5,FALSE)),"")</f>
        <v/>
      </c>
      <c r="M308" s="18" t="str">
        <f>IFERROR(IF(K308="","",VLOOKUP(K308,Lists!$K$2:$O$61,2,FALSE)),"")</f>
        <v/>
      </c>
      <c r="N308" s="18" t="str">
        <f>IFERROR(IF(K308="","",VLOOKUP(K308,Lists!$K$2:$O$61,3,FALSE)),"")</f>
        <v/>
      </c>
      <c r="O308" s="19"/>
      <c r="P308" s="31"/>
      <c r="Q308" s="32"/>
      <c r="R308" s="27"/>
    </row>
    <row r="309" ht="13.5" customHeight="1">
      <c r="A309" s="14"/>
      <c r="B309" s="18" t="str">
        <f>IF(A309="","",IFERROR(LOOKUP(A309,Lists!$U$2:$U$14,Lists!$T$2:$T$14),""))</f>
        <v/>
      </c>
      <c r="C309" s="19"/>
      <c r="D309" s="19"/>
      <c r="E309" s="18" t="str">
        <f t="shared" si="1"/>
        <v/>
      </c>
      <c r="F309" s="19"/>
      <c r="G309" s="23"/>
      <c r="H309" s="19"/>
      <c r="I309" s="19"/>
      <c r="J309" s="19"/>
      <c r="K309" s="19"/>
      <c r="L309" s="30" t="str">
        <f>IFERROR(IF(K309="","",VLOOKUP(K309,Lists!$K$2:$O$61,5,FALSE)),"")</f>
        <v/>
      </c>
      <c r="M309" s="18" t="str">
        <f>IFERROR(IF(K309="","",VLOOKUP(K309,Lists!$K$2:$O$61,2,FALSE)),"")</f>
        <v/>
      </c>
      <c r="N309" s="18" t="str">
        <f>IFERROR(IF(K309="","",VLOOKUP(K309,Lists!$K$2:$O$61,3,FALSE)),"")</f>
        <v/>
      </c>
      <c r="O309" s="19"/>
      <c r="P309" s="31"/>
      <c r="Q309" s="32"/>
      <c r="R309" s="27"/>
    </row>
    <row r="310" ht="13.5" customHeight="1">
      <c r="A310" s="14"/>
      <c r="B310" s="18" t="str">
        <f>IF(A310="","",IFERROR(LOOKUP(A310,Lists!$U$2:$U$14,Lists!$T$2:$T$14),""))</f>
        <v/>
      </c>
      <c r="C310" s="19"/>
      <c r="D310" s="19"/>
      <c r="E310" s="18" t="str">
        <f t="shared" si="1"/>
        <v/>
      </c>
      <c r="F310" s="19"/>
      <c r="G310" s="23"/>
      <c r="H310" s="19"/>
      <c r="I310" s="19"/>
      <c r="J310" s="19"/>
      <c r="K310" s="19"/>
      <c r="L310" s="30" t="str">
        <f>IFERROR(IF(K310="","",VLOOKUP(K310,Lists!$K$2:$O$61,5,FALSE)),"")</f>
        <v/>
      </c>
      <c r="M310" s="18" t="str">
        <f>IFERROR(IF(K310="","",VLOOKUP(K310,Lists!$K$2:$O$61,2,FALSE)),"")</f>
        <v/>
      </c>
      <c r="N310" s="18" t="str">
        <f>IFERROR(IF(K310="","",VLOOKUP(K310,Lists!$K$2:$O$61,3,FALSE)),"")</f>
        <v/>
      </c>
      <c r="O310" s="19"/>
      <c r="P310" s="31"/>
      <c r="Q310" s="32"/>
      <c r="R310" s="27"/>
    </row>
    <row r="311" ht="13.5" customHeight="1">
      <c r="A311" s="14"/>
      <c r="B311" s="18" t="str">
        <f>IF(A311="","",IFERROR(LOOKUP(A311,Lists!$U$2:$U$14,Lists!$T$2:$T$14),""))</f>
        <v/>
      </c>
      <c r="C311" s="19"/>
      <c r="D311" s="19"/>
      <c r="E311" s="18" t="str">
        <f t="shared" si="1"/>
        <v/>
      </c>
      <c r="F311" s="19"/>
      <c r="G311" s="23"/>
      <c r="H311" s="19"/>
      <c r="I311" s="19"/>
      <c r="J311" s="19"/>
      <c r="K311" s="19"/>
      <c r="L311" s="30" t="str">
        <f>IFERROR(IF(K311="","",VLOOKUP(K311,Lists!$K$2:$O$61,5,FALSE)),"")</f>
        <v/>
      </c>
      <c r="M311" s="18" t="str">
        <f>IFERROR(IF(K311="","",VLOOKUP(K311,Lists!$K$2:$O$61,2,FALSE)),"")</f>
        <v/>
      </c>
      <c r="N311" s="18" t="str">
        <f>IFERROR(IF(K311="","",VLOOKUP(K311,Lists!$K$2:$O$61,3,FALSE)),"")</f>
        <v/>
      </c>
      <c r="O311" s="19"/>
      <c r="P311" s="31"/>
      <c r="Q311" s="32"/>
      <c r="R311" s="27"/>
    </row>
    <row r="312" ht="13.5" customHeight="1">
      <c r="A312" s="14"/>
      <c r="B312" s="18" t="str">
        <f>IF(A312="","",IFERROR(LOOKUP(A312,Lists!$U$2:$U$14,Lists!$T$2:$T$14),""))</f>
        <v/>
      </c>
      <c r="C312" s="19"/>
      <c r="D312" s="19"/>
      <c r="E312" s="18" t="str">
        <f t="shared" si="1"/>
        <v/>
      </c>
      <c r="F312" s="19"/>
      <c r="G312" s="23"/>
      <c r="H312" s="19"/>
      <c r="I312" s="19"/>
      <c r="J312" s="19"/>
      <c r="K312" s="19"/>
      <c r="L312" s="30" t="str">
        <f>IFERROR(IF(K312="","",VLOOKUP(K312,Lists!$K$2:$O$61,5,FALSE)),"")</f>
        <v/>
      </c>
      <c r="M312" s="18" t="str">
        <f>IFERROR(IF(K312="","",VLOOKUP(K312,Lists!$K$2:$O$61,2,FALSE)),"")</f>
        <v/>
      </c>
      <c r="N312" s="18" t="str">
        <f>IFERROR(IF(K312="","",VLOOKUP(K312,Lists!$K$2:$O$61,3,FALSE)),"")</f>
        <v/>
      </c>
      <c r="O312" s="19"/>
      <c r="P312" s="31"/>
      <c r="Q312" s="32"/>
      <c r="R312" s="27"/>
    </row>
    <row r="313" ht="13.5" customHeight="1">
      <c r="A313" s="14"/>
      <c r="B313" s="18" t="str">
        <f>IF(A313="","",IFERROR(LOOKUP(A313,Lists!$U$2:$U$14,Lists!$T$2:$T$14),""))</f>
        <v/>
      </c>
      <c r="C313" s="19"/>
      <c r="D313" s="19"/>
      <c r="E313" s="18" t="str">
        <f t="shared" si="1"/>
        <v/>
      </c>
      <c r="F313" s="19"/>
      <c r="G313" s="23"/>
      <c r="H313" s="19"/>
      <c r="I313" s="19"/>
      <c r="J313" s="19"/>
      <c r="K313" s="19"/>
      <c r="L313" s="30" t="str">
        <f>IFERROR(IF(K313="","",VLOOKUP(K313,Lists!$K$2:$O$61,5,FALSE)),"")</f>
        <v/>
      </c>
      <c r="M313" s="18" t="str">
        <f>IFERROR(IF(K313="","",VLOOKUP(K313,Lists!$K$2:$O$61,2,FALSE)),"")</f>
        <v/>
      </c>
      <c r="N313" s="18" t="str">
        <f>IFERROR(IF(K313="","",VLOOKUP(K313,Lists!$K$2:$O$61,3,FALSE)),"")</f>
        <v/>
      </c>
      <c r="O313" s="19"/>
      <c r="P313" s="31"/>
      <c r="Q313" s="32"/>
      <c r="R313" s="27"/>
    </row>
    <row r="314" ht="13.5" customHeight="1">
      <c r="A314" s="14"/>
      <c r="B314" s="18" t="str">
        <f>IF(A314="","",IFERROR(LOOKUP(A314,Lists!$U$2:$U$14,Lists!$T$2:$T$14),""))</f>
        <v/>
      </c>
      <c r="C314" s="19"/>
      <c r="D314" s="19"/>
      <c r="E314" s="18" t="str">
        <f t="shared" si="1"/>
        <v/>
      </c>
      <c r="F314" s="19"/>
      <c r="G314" s="23"/>
      <c r="H314" s="19"/>
      <c r="I314" s="19"/>
      <c r="J314" s="19"/>
      <c r="K314" s="19"/>
      <c r="L314" s="30" t="str">
        <f>IFERROR(IF(K314="","",VLOOKUP(K314,Lists!$K$2:$O$61,5,FALSE)),"")</f>
        <v/>
      </c>
      <c r="M314" s="18" t="str">
        <f>IFERROR(IF(K314="","",VLOOKUP(K314,Lists!$K$2:$O$61,2,FALSE)),"")</f>
        <v/>
      </c>
      <c r="N314" s="18" t="str">
        <f>IFERROR(IF(K314="","",VLOOKUP(K314,Lists!$K$2:$O$61,3,FALSE)),"")</f>
        <v/>
      </c>
      <c r="O314" s="19"/>
      <c r="P314" s="31"/>
      <c r="Q314" s="32"/>
      <c r="R314" s="27"/>
    </row>
    <row r="315" ht="13.5" customHeight="1">
      <c r="A315" s="14"/>
      <c r="B315" s="18" t="str">
        <f>IF(A315="","",IFERROR(LOOKUP(A315,Lists!$U$2:$U$14,Lists!$T$2:$T$14),""))</f>
        <v/>
      </c>
      <c r="C315" s="19"/>
      <c r="D315" s="19"/>
      <c r="E315" s="18" t="str">
        <f t="shared" si="1"/>
        <v/>
      </c>
      <c r="F315" s="19"/>
      <c r="G315" s="23"/>
      <c r="H315" s="19"/>
      <c r="I315" s="19"/>
      <c r="J315" s="19"/>
      <c r="K315" s="19"/>
      <c r="L315" s="30" t="str">
        <f>IFERROR(IF(K315="","",VLOOKUP(K315,Lists!$K$2:$O$61,5,FALSE)),"")</f>
        <v/>
      </c>
      <c r="M315" s="18" t="str">
        <f>IFERROR(IF(K315="","",VLOOKUP(K315,Lists!$K$2:$O$61,2,FALSE)),"")</f>
        <v/>
      </c>
      <c r="N315" s="18" t="str">
        <f>IFERROR(IF(K315="","",VLOOKUP(K315,Lists!$K$2:$O$61,3,FALSE)),"")</f>
        <v/>
      </c>
      <c r="O315" s="19"/>
      <c r="P315" s="31"/>
      <c r="Q315" s="32"/>
      <c r="R315" s="27"/>
    </row>
    <row r="316" ht="13.5" customHeight="1">
      <c r="A316" s="14"/>
      <c r="B316" s="18" t="str">
        <f>IF(A316="","",IFERROR(LOOKUP(A316,Lists!$U$2:$U$14,Lists!$T$2:$T$14),""))</f>
        <v/>
      </c>
      <c r="C316" s="19"/>
      <c r="D316" s="19"/>
      <c r="E316" s="18" t="str">
        <f t="shared" si="1"/>
        <v/>
      </c>
      <c r="F316" s="19"/>
      <c r="G316" s="23"/>
      <c r="H316" s="19"/>
      <c r="I316" s="19"/>
      <c r="J316" s="19"/>
      <c r="K316" s="19"/>
      <c r="L316" s="30" t="str">
        <f>IFERROR(IF(K316="","",VLOOKUP(K316,Lists!$K$2:$O$61,5,FALSE)),"")</f>
        <v/>
      </c>
      <c r="M316" s="18" t="str">
        <f>IFERROR(IF(K316="","",VLOOKUP(K316,Lists!$K$2:$O$61,2,FALSE)),"")</f>
        <v/>
      </c>
      <c r="N316" s="18" t="str">
        <f>IFERROR(IF(K316="","",VLOOKUP(K316,Lists!$K$2:$O$61,3,FALSE)),"")</f>
        <v/>
      </c>
      <c r="O316" s="19"/>
      <c r="P316" s="31"/>
      <c r="Q316" s="32"/>
      <c r="R316" s="27"/>
    </row>
    <row r="317" ht="13.5" customHeight="1">
      <c r="A317" s="14"/>
      <c r="B317" s="18" t="str">
        <f>IF(A317="","",IFERROR(LOOKUP(A317,Lists!$U$2:$U$14,Lists!$T$2:$T$14),""))</f>
        <v/>
      </c>
      <c r="C317" s="19"/>
      <c r="D317" s="19"/>
      <c r="E317" s="18" t="str">
        <f t="shared" si="1"/>
        <v/>
      </c>
      <c r="F317" s="19"/>
      <c r="G317" s="23"/>
      <c r="H317" s="19"/>
      <c r="I317" s="19"/>
      <c r="J317" s="19"/>
      <c r="K317" s="19"/>
      <c r="L317" s="30" t="str">
        <f>IFERROR(IF(K317="","",VLOOKUP(K317,Lists!$K$2:$O$61,5,FALSE)),"")</f>
        <v/>
      </c>
      <c r="M317" s="18" t="str">
        <f>IFERROR(IF(K317="","",VLOOKUP(K317,Lists!$K$2:$O$61,2,FALSE)),"")</f>
        <v/>
      </c>
      <c r="N317" s="18" t="str">
        <f>IFERROR(IF(K317="","",VLOOKUP(K317,Lists!$K$2:$O$61,3,FALSE)),"")</f>
        <v/>
      </c>
      <c r="O317" s="19"/>
      <c r="P317" s="31"/>
      <c r="Q317" s="32"/>
      <c r="R317" s="27"/>
    </row>
    <row r="318" ht="13.5" customHeight="1">
      <c r="A318" s="14"/>
      <c r="B318" s="18" t="str">
        <f>IF(A318="","",IFERROR(LOOKUP(A318,Lists!$U$2:$U$14,Lists!$T$2:$T$14),""))</f>
        <v/>
      </c>
      <c r="C318" s="19"/>
      <c r="D318" s="19"/>
      <c r="E318" s="18" t="str">
        <f t="shared" si="1"/>
        <v/>
      </c>
      <c r="F318" s="19"/>
      <c r="G318" s="23"/>
      <c r="H318" s="19"/>
      <c r="I318" s="19"/>
      <c r="J318" s="19"/>
      <c r="K318" s="19"/>
      <c r="L318" s="30" t="str">
        <f>IFERROR(IF(K318="","",VLOOKUP(K318,Lists!$K$2:$O$61,5,FALSE)),"")</f>
        <v/>
      </c>
      <c r="M318" s="18" t="str">
        <f>IFERROR(IF(K318="","",VLOOKUP(K318,Lists!$K$2:$O$61,2,FALSE)),"")</f>
        <v/>
      </c>
      <c r="N318" s="18" t="str">
        <f>IFERROR(IF(K318="","",VLOOKUP(K318,Lists!$K$2:$O$61,3,FALSE)),"")</f>
        <v/>
      </c>
      <c r="O318" s="19"/>
      <c r="P318" s="31"/>
      <c r="Q318" s="32"/>
      <c r="R318" s="27"/>
    </row>
    <row r="319" ht="13.5" customHeight="1">
      <c r="A319" s="14"/>
      <c r="B319" s="18" t="str">
        <f>IF(A319="","",IFERROR(LOOKUP(A319,Lists!$U$2:$U$14,Lists!$T$2:$T$14),""))</f>
        <v/>
      </c>
      <c r="C319" s="19"/>
      <c r="D319" s="19"/>
      <c r="E319" s="18" t="str">
        <f t="shared" si="1"/>
        <v/>
      </c>
      <c r="F319" s="19"/>
      <c r="G319" s="23"/>
      <c r="H319" s="19"/>
      <c r="I319" s="19"/>
      <c r="J319" s="19"/>
      <c r="K319" s="19"/>
      <c r="L319" s="30" t="str">
        <f>IFERROR(IF(K319="","",VLOOKUP(K319,Lists!$K$2:$O$61,5,FALSE)),"")</f>
        <v/>
      </c>
      <c r="M319" s="18" t="str">
        <f>IFERROR(IF(K319="","",VLOOKUP(K319,Lists!$K$2:$O$61,2,FALSE)),"")</f>
        <v/>
      </c>
      <c r="N319" s="18" t="str">
        <f>IFERROR(IF(K319="","",VLOOKUP(K319,Lists!$K$2:$O$61,3,FALSE)),"")</f>
        <v/>
      </c>
      <c r="O319" s="19"/>
      <c r="P319" s="31"/>
      <c r="Q319" s="32"/>
      <c r="R319" s="27"/>
    </row>
    <row r="320" ht="13.5" customHeight="1">
      <c r="A320" s="14"/>
      <c r="B320" s="18" t="str">
        <f>IF(A320="","",IFERROR(LOOKUP(A320,Lists!$U$2:$U$14,Lists!$T$2:$T$14),""))</f>
        <v/>
      </c>
      <c r="C320" s="19"/>
      <c r="D320" s="19"/>
      <c r="E320" s="18" t="str">
        <f t="shared" si="1"/>
        <v/>
      </c>
      <c r="F320" s="19"/>
      <c r="G320" s="23"/>
      <c r="H320" s="19"/>
      <c r="I320" s="19"/>
      <c r="J320" s="19"/>
      <c r="K320" s="19"/>
      <c r="L320" s="30" t="str">
        <f>IFERROR(IF(K320="","",VLOOKUP(K320,Lists!$K$2:$O$61,5,FALSE)),"")</f>
        <v/>
      </c>
      <c r="M320" s="18" t="str">
        <f>IFERROR(IF(K320="","",VLOOKUP(K320,Lists!$K$2:$O$61,2,FALSE)),"")</f>
        <v/>
      </c>
      <c r="N320" s="18" t="str">
        <f>IFERROR(IF(K320="","",VLOOKUP(K320,Lists!$K$2:$O$61,3,FALSE)),"")</f>
        <v/>
      </c>
      <c r="O320" s="19"/>
      <c r="P320" s="31"/>
      <c r="Q320" s="32"/>
      <c r="R320" s="27"/>
    </row>
    <row r="321" ht="13.5" customHeight="1">
      <c r="A321" s="14"/>
      <c r="B321" s="18" t="str">
        <f>IF(A321="","",IFERROR(LOOKUP(A321,Lists!$U$2:$U$14,Lists!$T$2:$T$14),""))</f>
        <v/>
      </c>
      <c r="C321" s="19"/>
      <c r="D321" s="19"/>
      <c r="E321" s="18" t="str">
        <f t="shared" si="1"/>
        <v/>
      </c>
      <c r="F321" s="19"/>
      <c r="G321" s="23"/>
      <c r="H321" s="19"/>
      <c r="I321" s="19"/>
      <c r="J321" s="19"/>
      <c r="K321" s="19"/>
      <c r="L321" s="30" t="str">
        <f>IFERROR(IF(K321="","",VLOOKUP(K321,Lists!$K$2:$O$61,5,FALSE)),"")</f>
        <v/>
      </c>
      <c r="M321" s="18" t="str">
        <f>IFERROR(IF(K321="","",VLOOKUP(K321,Lists!$K$2:$O$61,2,FALSE)),"")</f>
        <v/>
      </c>
      <c r="N321" s="18" t="str">
        <f>IFERROR(IF(K321="","",VLOOKUP(K321,Lists!$K$2:$O$61,3,FALSE)),"")</f>
        <v/>
      </c>
      <c r="O321" s="19"/>
      <c r="P321" s="31"/>
      <c r="Q321" s="32"/>
      <c r="R321" s="27"/>
    </row>
    <row r="322" ht="13.5" customHeight="1">
      <c r="A322" s="14"/>
      <c r="B322" s="18" t="str">
        <f>IF(A322="","",IFERROR(LOOKUP(A322,Lists!$U$2:$U$14,Lists!$T$2:$T$14),""))</f>
        <v/>
      </c>
      <c r="C322" s="19"/>
      <c r="D322" s="19"/>
      <c r="E322" s="18" t="str">
        <f t="shared" si="1"/>
        <v/>
      </c>
      <c r="F322" s="19"/>
      <c r="G322" s="23"/>
      <c r="H322" s="19"/>
      <c r="I322" s="19"/>
      <c r="J322" s="19"/>
      <c r="K322" s="19"/>
      <c r="L322" s="30" t="str">
        <f>IFERROR(IF(K322="","",VLOOKUP(K322,Lists!$K$2:$O$61,5,FALSE)),"")</f>
        <v/>
      </c>
      <c r="M322" s="18" t="str">
        <f>IFERROR(IF(K322="","",VLOOKUP(K322,Lists!$K$2:$O$61,2,FALSE)),"")</f>
        <v/>
      </c>
      <c r="N322" s="18" t="str">
        <f>IFERROR(IF(K322="","",VLOOKUP(K322,Lists!$K$2:$O$61,3,FALSE)),"")</f>
        <v/>
      </c>
      <c r="O322" s="19"/>
      <c r="P322" s="31"/>
      <c r="Q322" s="32"/>
      <c r="R322" s="27"/>
    </row>
    <row r="323" ht="13.5" customHeight="1">
      <c r="A323" s="14"/>
      <c r="B323" s="18" t="str">
        <f>IF(A323="","",IFERROR(LOOKUP(A323,Lists!$U$2:$U$14,Lists!$T$2:$T$14),""))</f>
        <v/>
      </c>
      <c r="C323" s="19"/>
      <c r="D323" s="19"/>
      <c r="E323" s="18" t="str">
        <f t="shared" si="1"/>
        <v/>
      </c>
      <c r="F323" s="19"/>
      <c r="G323" s="23"/>
      <c r="H323" s="19"/>
      <c r="I323" s="19"/>
      <c r="J323" s="19"/>
      <c r="K323" s="19"/>
      <c r="L323" s="30" t="str">
        <f>IFERROR(IF(K323="","",VLOOKUP(K323,Lists!$K$2:$O$61,5,FALSE)),"")</f>
        <v/>
      </c>
      <c r="M323" s="18" t="str">
        <f>IFERROR(IF(K323="","",VLOOKUP(K323,Lists!$K$2:$O$61,2,FALSE)),"")</f>
        <v/>
      </c>
      <c r="N323" s="18" t="str">
        <f>IFERROR(IF(K323="","",VLOOKUP(K323,Lists!$K$2:$O$61,3,FALSE)),"")</f>
        <v/>
      </c>
      <c r="O323" s="19"/>
      <c r="P323" s="31"/>
      <c r="Q323" s="32"/>
      <c r="R323" s="27"/>
    </row>
    <row r="324" ht="13.5" customHeight="1">
      <c r="A324" s="14"/>
      <c r="B324" s="18" t="str">
        <f>IF(A324="","",IFERROR(LOOKUP(A324,Lists!$U$2:$U$14,Lists!$T$2:$T$14),""))</f>
        <v/>
      </c>
      <c r="C324" s="19"/>
      <c r="D324" s="19"/>
      <c r="E324" s="18" t="str">
        <f t="shared" si="1"/>
        <v/>
      </c>
      <c r="F324" s="19"/>
      <c r="G324" s="23"/>
      <c r="H324" s="19"/>
      <c r="I324" s="19"/>
      <c r="J324" s="19"/>
      <c r="K324" s="19"/>
      <c r="L324" s="30" t="str">
        <f>IFERROR(IF(K324="","",VLOOKUP(K324,Lists!$K$2:$O$61,5,FALSE)),"")</f>
        <v/>
      </c>
      <c r="M324" s="18" t="str">
        <f>IFERROR(IF(K324="","",VLOOKUP(K324,Lists!$K$2:$O$61,2,FALSE)),"")</f>
        <v/>
      </c>
      <c r="N324" s="18" t="str">
        <f>IFERROR(IF(K324="","",VLOOKUP(K324,Lists!$K$2:$O$61,3,FALSE)),"")</f>
        <v/>
      </c>
      <c r="O324" s="19"/>
      <c r="P324" s="31"/>
      <c r="Q324" s="32"/>
      <c r="R324" s="27"/>
    </row>
    <row r="325" ht="13.5" customHeight="1">
      <c r="A325" s="14"/>
      <c r="B325" s="18" t="str">
        <f>IF(A325="","",IFERROR(LOOKUP(A325,Lists!$U$2:$U$14,Lists!$T$2:$T$14),""))</f>
        <v/>
      </c>
      <c r="C325" s="19"/>
      <c r="D325" s="19"/>
      <c r="E325" s="18" t="str">
        <f t="shared" si="1"/>
        <v/>
      </c>
      <c r="F325" s="19"/>
      <c r="G325" s="23"/>
      <c r="H325" s="19"/>
      <c r="I325" s="19"/>
      <c r="J325" s="19"/>
      <c r="K325" s="19"/>
      <c r="L325" s="30" t="str">
        <f>IFERROR(IF(K325="","",VLOOKUP(K325,Lists!$K$2:$O$61,5,FALSE)),"")</f>
        <v/>
      </c>
      <c r="M325" s="18" t="str">
        <f>IFERROR(IF(K325="","",VLOOKUP(K325,Lists!$K$2:$O$61,2,FALSE)),"")</f>
        <v/>
      </c>
      <c r="N325" s="18" t="str">
        <f>IFERROR(IF(K325="","",VLOOKUP(K325,Lists!$K$2:$O$61,3,FALSE)),"")</f>
        <v/>
      </c>
      <c r="O325" s="19"/>
      <c r="P325" s="31"/>
      <c r="Q325" s="32"/>
      <c r="R325" s="27"/>
    </row>
    <row r="326" ht="13.5" customHeight="1">
      <c r="A326" s="14"/>
      <c r="B326" s="18" t="str">
        <f>IF(A326="","",IFERROR(LOOKUP(A326,Lists!$U$2:$U$14,Lists!$T$2:$T$14),""))</f>
        <v/>
      </c>
      <c r="C326" s="19"/>
      <c r="D326" s="19"/>
      <c r="E326" s="18" t="str">
        <f t="shared" si="1"/>
        <v/>
      </c>
      <c r="F326" s="19"/>
      <c r="G326" s="23"/>
      <c r="H326" s="19"/>
      <c r="I326" s="19"/>
      <c r="J326" s="19"/>
      <c r="K326" s="19"/>
      <c r="L326" s="30" t="str">
        <f>IFERROR(IF(K326="","",VLOOKUP(K326,Lists!$K$2:$O$61,5,FALSE)),"")</f>
        <v/>
      </c>
      <c r="M326" s="18" t="str">
        <f>IFERROR(IF(K326="","",VLOOKUP(K326,Lists!$K$2:$O$61,2,FALSE)),"")</f>
        <v/>
      </c>
      <c r="N326" s="18" t="str">
        <f>IFERROR(IF(K326="","",VLOOKUP(K326,Lists!$K$2:$O$61,3,FALSE)),"")</f>
        <v/>
      </c>
      <c r="O326" s="19"/>
      <c r="P326" s="31"/>
      <c r="Q326" s="32"/>
      <c r="R326" s="27"/>
    </row>
    <row r="327" ht="13.5" customHeight="1">
      <c r="A327" s="14"/>
      <c r="B327" s="18" t="str">
        <f>IF(A327="","",IFERROR(LOOKUP(A327,Lists!$U$2:$U$14,Lists!$T$2:$T$14),""))</f>
        <v/>
      </c>
      <c r="C327" s="19"/>
      <c r="D327" s="19"/>
      <c r="E327" s="18" t="str">
        <f t="shared" si="1"/>
        <v/>
      </c>
      <c r="F327" s="19"/>
      <c r="G327" s="23"/>
      <c r="H327" s="19"/>
      <c r="I327" s="19"/>
      <c r="J327" s="19"/>
      <c r="K327" s="19"/>
      <c r="L327" s="30" t="str">
        <f>IFERROR(IF(K327="","",VLOOKUP(K327,Lists!$K$2:$O$61,5,FALSE)),"")</f>
        <v/>
      </c>
      <c r="M327" s="18" t="str">
        <f>IFERROR(IF(K327="","",VLOOKUP(K327,Lists!$K$2:$O$61,2,FALSE)),"")</f>
        <v/>
      </c>
      <c r="N327" s="18" t="str">
        <f>IFERROR(IF(K327="","",VLOOKUP(K327,Lists!$K$2:$O$61,3,FALSE)),"")</f>
        <v/>
      </c>
      <c r="O327" s="19"/>
      <c r="P327" s="31"/>
      <c r="Q327" s="32"/>
      <c r="R327" s="27"/>
    </row>
    <row r="328" ht="13.5" customHeight="1">
      <c r="A328" s="14"/>
      <c r="B328" s="18" t="str">
        <f>IF(A328="","",IFERROR(LOOKUP(A328,Lists!$U$2:$U$14,Lists!$T$2:$T$14),""))</f>
        <v/>
      </c>
      <c r="C328" s="19"/>
      <c r="D328" s="19"/>
      <c r="E328" s="18" t="str">
        <f t="shared" si="1"/>
        <v/>
      </c>
      <c r="F328" s="19"/>
      <c r="G328" s="23"/>
      <c r="H328" s="19"/>
      <c r="I328" s="19"/>
      <c r="J328" s="19"/>
      <c r="K328" s="19"/>
      <c r="L328" s="30" t="str">
        <f>IFERROR(IF(K328="","",VLOOKUP(K328,Lists!$K$2:$O$61,5,FALSE)),"")</f>
        <v/>
      </c>
      <c r="M328" s="18" t="str">
        <f>IFERROR(IF(K328="","",VLOOKUP(K328,Lists!$K$2:$O$61,2,FALSE)),"")</f>
        <v/>
      </c>
      <c r="N328" s="18" t="str">
        <f>IFERROR(IF(K328="","",VLOOKUP(K328,Lists!$K$2:$O$61,3,FALSE)),"")</f>
        <v/>
      </c>
      <c r="O328" s="19"/>
      <c r="P328" s="31"/>
      <c r="Q328" s="32"/>
      <c r="R328" s="27"/>
    </row>
    <row r="329" ht="13.5" customHeight="1">
      <c r="A329" s="14"/>
      <c r="B329" s="18" t="str">
        <f>IF(A329="","",IFERROR(LOOKUP(A329,Lists!$U$2:$U$14,Lists!$T$2:$T$14),""))</f>
        <v/>
      </c>
      <c r="C329" s="19"/>
      <c r="D329" s="19"/>
      <c r="E329" s="18" t="str">
        <f t="shared" si="1"/>
        <v/>
      </c>
      <c r="F329" s="19"/>
      <c r="G329" s="23"/>
      <c r="H329" s="19"/>
      <c r="I329" s="19"/>
      <c r="J329" s="19"/>
      <c r="K329" s="19"/>
      <c r="L329" s="30" t="str">
        <f>IFERROR(IF(K329="","",VLOOKUP(K329,Lists!$K$2:$O$61,5,FALSE)),"")</f>
        <v/>
      </c>
      <c r="M329" s="18" t="str">
        <f>IFERROR(IF(K329="","",VLOOKUP(K329,Lists!$K$2:$O$61,2,FALSE)),"")</f>
        <v/>
      </c>
      <c r="N329" s="18" t="str">
        <f>IFERROR(IF(K329="","",VLOOKUP(K329,Lists!$K$2:$O$61,3,FALSE)),"")</f>
        <v/>
      </c>
      <c r="O329" s="19"/>
      <c r="P329" s="31"/>
      <c r="Q329" s="32"/>
      <c r="R329" s="27"/>
    </row>
    <row r="330" ht="13.5" customHeight="1">
      <c r="A330" s="14"/>
      <c r="B330" s="18" t="str">
        <f>IF(A330="","",IFERROR(LOOKUP(A330,Lists!$U$2:$U$14,Lists!$T$2:$T$14),""))</f>
        <v/>
      </c>
      <c r="C330" s="19"/>
      <c r="D330" s="19"/>
      <c r="E330" s="18" t="str">
        <f t="shared" si="1"/>
        <v/>
      </c>
      <c r="F330" s="19"/>
      <c r="G330" s="23"/>
      <c r="H330" s="19"/>
      <c r="I330" s="19"/>
      <c r="J330" s="19"/>
      <c r="K330" s="19"/>
      <c r="L330" s="30" t="str">
        <f>IFERROR(IF(K330="","",VLOOKUP(K330,Lists!$K$2:$O$61,5,FALSE)),"")</f>
        <v/>
      </c>
      <c r="M330" s="18" t="str">
        <f>IFERROR(IF(K330="","",VLOOKUP(K330,Lists!$K$2:$O$61,2,FALSE)),"")</f>
        <v/>
      </c>
      <c r="N330" s="18" t="str">
        <f>IFERROR(IF(K330="","",VLOOKUP(K330,Lists!$K$2:$O$61,3,FALSE)),"")</f>
        <v/>
      </c>
      <c r="O330" s="19"/>
      <c r="P330" s="31"/>
      <c r="Q330" s="32"/>
      <c r="R330" s="27"/>
    </row>
    <row r="331" ht="13.5" customHeight="1">
      <c r="A331" s="14"/>
      <c r="B331" s="18" t="str">
        <f>IF(A331="","",IFERROR(LOOKUP(A331,Lists!$U$2:$U$14,Lists!$T$2:$T$14),""))</f>
        <v/>
      </c>
      <c r="C331" s="19"/>
      <c r="D331" s="19"/>
      <c r="E331" s="18" t="str">
        <f t="shared" si="1"/>
        <v/>
      </c>
      <c r="F331" s="19"/>
      <c r="G331" s="23"/>
      <c r="H331" s="19"/>
      <c r="I331" s="19"/>
      <c r="J331" s="19"/>
      <c r="K331" s="19"/>
      <c r="L331" s="30" t="str">
        <f>IFERROR(IF(K331="","",VLOOKUP(K331,Lists!$K$2:$O$61,5,FALSE)),"")</f>
        <v/>
      </c>
      <c r="M331" s="18" t="str">
        <f>IFERROR(IF(K331="","",VLOOKUP(K331,Lists!$K$2:$O$61,2,FALSE)),"")</f>
        <v/>
      </c>
      <c r="N331" s="18" t="str">
        <f>IFERROR(IF(K331="","",VLOOKUP(K331,Lists!$K$2:$O$61,3,FALSE)),"")</f>
        <v/>
      </c>
      <c r="O331" s="19"/>
      <c r="P331" s="31"/>
      <c r="Q331" s="32"/>
      <c r="R331" s="27"/>
    </row>
    <row r="332" ht="13.5" customHeight="1">
      <c r="A332" s="14"/>
      <c r="B332" s="18" t="str">
        <f>IF(A332="","",IFERROR(LOOKUP(A332,Lists!$U$2:$U$14,Lists!$T$2:$T$14),""))</f>
        <v/>
      </c>
      <c r="C332" s="19"/>
      <c r="D332" s="19"/>
      <c r="E332" s="18" t="str">
        <f t="shared" si="1"/>
        <v/>
      </c>
      <c r="F332" s="19"/>
      <c r="G332" s="23"/>
      <c r="H332" s="19"/>
      <c r="I332" s="19"/>
      <c r="J332" s="19"/>
      <c r="K332" s="19"/>
      <c r="L332" s="30" t="str">
        <f>IFERROR(IF(K332="","",VLOOKUP(K332,Lists!$K$2:$O$61,5,FALSE)),"")</f>
        <v/>
      </c>
      <c r="M332" s="18" t="str">
        <f>IFERROR(IF(K332="","",VLOOKUP(K332,Lists!$K$2:$O$61,2,FALSE)),"")</f>
        <v/>
      </c>
      <c r="N332" s="18" t="str">
        <f>IFERROR(IF(K332="","",VLOOKUP(K332,Lists!$K$2:$O$61,3,FALSE)),"")</f>
        <v/>
      </c>
      <c r="O332" s="19"/>
      <c r="P332" s="31"/>
      <c r="Q332" s="32"/>
      <c r="R332" s="27"/>
    </row>
    <row r="333" ht="13.5" customHeight="1">
      <c r="A333" s="14"/>
      <c r="B333" s="18" t="str">
        <f>IF(A333="","",IFERROR(LOOKUP(A333,Lists!$U$2:$U$14,Lists!$T$2:$T$14),""))</f>
        <v/>
      </c>
      <c r="C333" s="19"/>
      <c r="D333" s="19"/>
      <c r="E333" s="18" t="str">
        <f t="shared" si="1"/>
        <v/>
      </c>
      <c r="F333" s="19"/>
      <c r="G333" s="23"/>
      <c r="H333" s="19"/>
      <c r="I333" s="19"/>
      <c r="J333" s="19"/>
      <c r="K333" s="19"/>
      <c r="L333" s="30" t="str">
        <f>IFERROR(IF(K333="","",VLOOKUP(K333,Lists!$K$2:$O$61,5,FALSE)),"")</f>
        <v/>
      </c>
      <c r="M333" s="18" t="str">
        <f>IFERROR(IF(K333="","",VLOOKUP(K333,Lists!$K$2:$O$61,2,FALSE)),"")</f>
        <v/>
      </c>
      <c r="N333" s="18" t="str">
        <f>IFERROR(IF(K333="","",VLOOKUP(K333,Lists!$K$2:$O$61,3,FALSE)),"")</f>
        <v/>
      </c>
      <c r="O333" s="19"/>
      <c r="P333" s="31"/>
      <c r="Q333" s="32"/>
      <c r="R333" s="27"/>
    </row>
    <row r="334" ht="13.5" customHeight="1">
      <c r="A334" s="14"/>
      <c r="B334" s="18" t="str">
        <f>IF(A334="","",IFERROR(LOOKUP(A334,Lists!$U$2:$U$14,Lists!$T$2:$T$14),""))</f>
        <v/>
      </c>
      <c r="C334" s="19"/>
      <c r="D334" s="19"/>
      <c r="E334" s="18" t="str">
        <f t="shared" si="1"/>
        <v/>
      </c>
      <c r="F334" s="19"/>
      <c r="G334" s="23"/>
      <c r="H334" s="19"/>
      <c r="I334" s="19"/>
      <c r="J334" s="19"/>
      <c r="K334" s="19"/>
      <c r="L334" s="30" t="str">
        <f>IFERROR(IF(K334="","",VLOOKUP(K334,Lists!$K$2:$O$61,5,FALSE)),"")</f>
        <v/>
      </c>
      <c r="M334" s="18" t="str">
        <f>IFERROR(IF(K334="","",VLOOKUP(K334,Lists!$K$2:$O$61,2,FALSE)),"")</f>
        <v/>
      </c>
      <c r="N334" s="18" t="str">
        <f>IFERROR(IF(K334="","",VLOOKUP(K334,Lists!$K$2:$O$61,3,FALSE)),"")</f>
        <v/>
      </c>
      <c r="O334" s="19"/>
      <c r="P334" s="31"/>
      <c r="Q334" s="32"/>
      <c r="R334" s="27"/>
    </row>
    <row r="335" ht="13.5" customHeight="1">
      <c r="A335" s="14"/>
      <c r="B335" s="18" t="str">
        <f>IF(A335="","",IFERROR(LOOKUP(A335,Lists!$U$2:$U$14,Lists!$T$2:$T$14),""))</f>
        <v/>
      </c>
      <c r="C335" s="19"/>
      <c r="D335" s="19"/>
      <c r="E335" s="18" t="str">
        <f t="shared" si="1"/>
        <v/>
      </c>
      <c r="F335" s="19"/>
      <c r="G335" s="23"/>
      <c r="H335" s="19"/>
      <c r="I335" s="19"/>
      <c r="J335" s="19"/>
      <c r="K335" s="19"/>
      <c r="L335" s="30" t="str">
        <f>IFERROR(IF(K335="","",VLOOKUP(K335,Lists!$K$2:$O$61,5,FALSE)),"")</f>
        <v/>
      </c>
      <c r="M335" s="18" t="str">
        <f>IFERROR(IF(K335="","",VLOOKUP(K335,Lists!$K$2:$O$61,2,FALSE)),"")</f>
        <v/>
      </c>
      <c r="N335" s="18" t="str">
        <f>IFERROR(IF(K335="","",VLOOKUP(K335,Lists!$K$2:$O$61,3,FALSE)),"")</f>
        <v/>
      </c>
      <c r="O335" s="19"/>
      <c r="P335" s="31"/>
      <c r="Q335" s="32"/>
      <c r="R335" s="27"/>
    </row>
    <row r="336" ht="13.5" customHeight="1">
      <c r="A336" s="14"/>
      <c r="B336" s="18" t="str">
        <f>IF(A336="","",IFERROR(LOOKUP(A336,Lists!$U$2:$U$14,Lists!$T$2:$T$14),""))</f>
        <v/>
      </c>
      <c r="C336" s="19"/>
      <c r="D336" s="19"/>
      <c r="E336" s="18" t="str">
        <f t="shared" si="1"/>
        <v/>
      </c>
      <c r="F336" s="19"/>
      <c r="G336" s="23"/>
      <c r="H336" s="19"/>
      <c r="I336" s="19"/>
      <c r="J336" s="19"/>
      <c r="K336" s="19"/>
      <c r="L336" s="30" t="str">
        <f>IFERROR(IF(K336="","",VLOOKUP(K336,Lists!$K$2:$O$61,5,FALSE)),"")</f>
        <v/>
      </c>
      <c r="M336" s="18" t="str">
        <f>IFERROR(IF(K336="","",VLOOKUP(K336,Lists!$K$2:$O$61,2,FALSE)),"")</f>
        <v/>
      </c>
      <c r="N336" s="18" t="str">
        <f>IFERROR(IF(K336="","",VLOOKUP(K336,Lists!$K$2:$O$61,3,FALSE)),"")</f>
        <v/>
      </c>
      <c r="O336" s="19"/>
      <c r="P336" s="31"/>
      <c r="Q336" s="32"/>
      <c r="R336" s="27"/>
    </row>
    <row r="337" ht="13.5" customHeight="1">
      <c r="A337" s="14"/>
      <c r="B337" s="18" t="str">
        <f>IF(A337="","",IFERROR(LOOKUP(A337,Lists!$U$2:$U$14,Lists!$T$2:$T$14),""))</f>
        <v/>
      </c>
      <c r="C337" s="19"/>
      <c r="D337" s="19"/>
      <c r="E337" s="18" t="str">
        <f t="shared" si="1"/>
        <v/>
      </c>
      <c r="F337" s="19"/>
      <c r="G337" s="23"/>
      <c r="H337" s="19"/>
      <c r="I337" s="19"/>
      <c r="J337" s="19"/>
      <c r="K337" s="19"/>
      <c r="L337" s="30" t="str">
        <f>IFERROR(IF(K337="","",VLOOKUP(K337,Lists!$K$2:$O$61,5,FALSE)),"")</f>
        <v/>
      </c>
      <c r="M337" s="18" t="str">
        <f>IFERROR(IF(K337="","",VLOOKUP(K337,Lists!$K$2:$O$61,2,FALSE)),"")</f>
        <v/>
      </c>
      <c r="N337" s="18" t="str">
        <f>IFERROR(IF(K337="","",VLOOKUP(K337,Lists!$K$2:$O$61,3,FALSE)),"")</f>
        <v/>
      </c>
      <c r="O337" s="19"/>
      <c r="P337" s="31"/>
      <c r="Q337" s="32"/>
      <c r="R337" s="27"/>
    </row>
    <row r="338" ht="13.5" customHeight="1">
      <c r="A338" s="14"/>
      <c r="B338" s="18" t="str">
        <f>IF(A338="","",IFERROR(LOOKUP(A338,Lists!$U$2:$U$14,Lists!$T$2:$T$14),""))</f>
        <v/>
      </c>
      <c r="C338" s="19"/>
      <c r="D338" s="19"/>
      <c r="E338" s="18" t="str">
        <f t="shared" si="1"/>
        <v/>
      </c>
      <c r="F338" s="19"/>
      <c r="G338" s="23"/>
      <c r="H338" s="19"/>
      <c r="I338" s="19"/>
      <c r="J338" s="19"/>
      <c r="K338" s="19"/>
      <c r="L338" s="30" t="str">
        <f>IFERROR(IF(K338="","",VLOOKUP(K338,Lists!$K$2:$O$61,5,FALSE)),"")</f>
        <v/>
      </c>
      <c r="M338" s="18" t="str">
        <f>IFERROR(IF(K338="","",VLOOKUP(K338,Lists!$K$2:$O$61,2,FALSE)),"")</f>
        <v/>
      </c>
      <c r="N338" s="18" t="str">
        <f>IFERROR(IF(K338="","",VLOOKUP(K338,Lists!$K$2:$O$61,3,FALSE)),"")</f>
        <v/>
      </c>
      <c r="O338" s="19"/>
      <c r="P338" s="31"/>
      <c r="Q338" s="32"/>
      <c r="R338" s="27"/>
    </row>
    <row r="339" ht="13.5" customHeight="1">
      <c r="A339" s="14"/>
      <c r="B339" s="18" t="str">
        <f>IF(A339="","",IFERROR(LOOKUP(A339,Lists!$U$2:$U$14,Lists!$T$2:$T$14),""))</f>
        <v/>
      </c>
      <c r="C339" s="19"/>
      <c r="D339" s="19"/>
      <c r="E339" s="18" t="str">
        <f t="shared" si="1"/>
        <v/>
      </c>
      <c r="F339" s="19"/>
      <c r="G339" s="23"/>
      <c r="H339" s="19"/>
      <c r="I339" s="19"/>
      <c r="J339" s="19"/>
      <c r="K339" s="19"/>
      <c r="L339" s="30" t="str">
        <f>IFERROR(IF(K339="","",VLOOKUP(K339,Lists!$K$2:$O$61,5,FALSE)),"")</f>
        <v/>
      </c>
      <c r="M339" s="18" t="str">
        <f>IFERROR(IF(K339="","",VLOOKUP(K339,Lists!$K$2:$O$61,2,FALSE)),"")</f>
        <v/>
      </c>
      <c r="N339" s="18" t="str">
        <f>IFERROR(IF(K339="","",VLOOKUP(K339,Lists!$K$2:$O$61,3,FALSE)),"")</f>
        <v/>
      </c>
      <c r="O339" s="19"/>
      <c r="P339" s="31"/>
      <c r="Q339" s="32"/>
      <c r="R339" s="27"/>
    </row>
    <row r="340" ht="13.5" customHeight="1">
      <c r="A340" s="14"/>
      <c r="B340" s="18" t="str">
        <f>IF(A340="","",IFERROR(LOOKUP(A340,Lists!$U$2:$U$14,Lists!$T$2:$T$14),""))</f>
        <v/>
      </c>
      <c r="C340" s="19"/>
      <c r="D340" s="19"/>
      <c r="E340" s="18" t="str">
        <f t="shared" si="1"/>
        <v/>
      </c>
      <c r="F340" s="19"/>
      <c r="G340" s="23"/>
      <c r="H340" s="19"/>
      <c r="I340" s="19"/>
      <c r="J340" s="19"/>
      <c r="K340" s="19"/>
      <c r="L340" s="30" t="str">
        <f>IFERROR(IF(K340="","",VLOOKUP(K340,Lists!$K$2:$O$61,5,FALSE)),"")</f>
        <v/>
      </c>
      <c r="M340" s="18" t="str">
        <f>IFERROR(IF(K340="","",VLOOKUP(K340,Lists!$K$2:$O$61,2,FALSE)),"")</f>
        <v/>
      </c>
      <c r="N340" s="18" t="str">
        <f>IFERROR(IF(K340="","",VLOOKUP(K340,Lists!$K$2:$O$61,3,FALSE)),"")</f>
        <v/>
      </c>
      <c r="O340" s="19"/>
      <c r="P340" s="31"/>
      <c r="Q340" s="32"/>
      <c r="R340" s="27"/>
    </row>
    <row r="341" ht="13.5" customHeight="1">
      <c r="A341" s="14"/>
      <c r="B341" s="18" t="str">
        <f>IF(A341="","",IFERROR(LOOKUP(A341,Lists!$U$2:$U$14,Lists!$T$2:$T$14),""))</f>
        <v/>
      </c>
      <c r="C341" s="19"/>
      <c r="D341" s="19"/>
      <c r="E341" s="18" t="str">
        <f t="shared" si="1"/>
        <v/>
      </c>
      <c r="F341" s="19"/>
      <c r="G341" s="23"/>
      <c r="H341" s="19"/>
      <c r="I341" s="19"/>
      <c r="J341" s="19"/>
      <c r="K341" s="19"/>
      <c r="L341" s="30" t="str">
        <f>IFERROR(IF(K341="","",VLOOKUP(K341,Lists!$K$2:$O$61,5,FALSE)),"")</f>
        <v/>
      </c>
      <c r="M341" s="18" t="str">
        <f>IFERROR(IF(K341="","",VLOOKUP(K341,Lists!$K$2:$O$61,2,FALSE)),"")</f>
        <v/>
      </c>
      <c r="N341" s="18" t="str">
        <f>IFERROR(IF(K341="","",VLOOKUP(K341,Lists!$K$2:$O$61,3,FALSE)),"")</f>
        <v/>
      </c>
      <c r="O341" s="19"/>
      <c r="P341" s="31"/>
      <c r="Q341" s="32"/>
      <c r="R341" s="27"/>
    </row>
    <row r="342" ht="13.5" customHeight="1">
      <c r="A342" s="14"/>
      <c r="B342" s="18" t="str">
        <f>IF(A342="","",IFERROR(LOOKUP(A342,Lists!$U$2:$U$14,Lists!$T$2:$T$14),""))</f>
        <v/>
      </c>
      <c r="C342" s="19"/>
      <c r="D342" s="19"/>
      <c r="E342" s="18" t="str">
        <f t="shared" si="1"/>
        <v/>
      </c>
      <c r="F342" s="19"/>
      <c r="G342" s="23"/>
      <c r="H342" s="19"/>
      <c r="I342" s="19"/>
      <c r="J342" s="19"/>
      <c r="K342" s="19"/>
      <c r="L342" s="30" t="str">
        <f>IFERROR(IF(K342="","",VLOOKUP(K342,Lists!$K$2:$O$61,5,FALSE)),"")</f>
        <v/>
      </c>
      <c r="M342" s="18" t="str">
        <f>IFERROR(IF(K342="","",VLOOKUP(K342,Lists!$K$2:$O$61,2,FALSE)),"")</f>
        <v/>
      </c>
      <c r="N342" s="18" t="str">
        <f>IFERROR(IF(K342="","",VLOOKUP(K342,Lists!$K$2:$O$61,3,FALSE)),"")</f>
        <v/>
      </c>
      <c r="O342" s="19"/>
      <c r="P342" s="31"/>
      <c r="Q342" s="32"/>
      <c r="R342" s="27"/>
    </row>
    <row r="343" ht="13.5" customHeight="1">
      <c r="A343" s="14"/>
      <c r="B343" s="18" t="str">
        <f>IF(A343="","",IFERROR(LOOKUP(A343,Lists!$U$2:$U$14,Lists!$T$2:$T$14),""))</f>
        <v/>
      </c>
      <c r="C343" s="19"/>
      <c r="D343" s="19"/>
      <c r="E343" s="18" t="str">
        <f t="shared" si="1"/>
        <v/>
      </c>
      <c r="F343" s="19"/>
      <c r="G343" s="23"/>
      <c r="H343" s="19"/>
      <c r="I343" s="19"/>
      <c r="J343" s="19"/>
      <c r="K343" s="19"/>
      <c r="L343" s="30" t="str">
        <f>IFERROR(IF(K343="","",VLOOKUP(K343,Lists!$K$2:$O$61,5,FALSE)),"")</f>
        <v/>
      </c>
      <c r="M343" s="18" t="str">
        <f>IFERROR(IF(K343="","",VLOOKUP(K343,Lists!$K$2:$O$61,2,FALSE)),"")</f>
        <v/>
      </c>
      <c r="N343" s="18" t="str">
        <f>IFERROR(IF(K343="","",VLOOKUP(K343,Lists!$K$2:$O$61,3,FALSE)),"")</f>
        <v/>
      </c>
      <c r="O343" s="19"/>
      <c r="P343" s="31"/>
      <c r="Q343" s="32"/>
      <c r="R343" s="27"/>
    </row>
    <row r="344" ht="13.5" customHeight="1">
      <c r="A344" s="14"/>
      <c r="B344" s="18" t="str">
        <f>IF(A344="","",IFERROR(LOOKUP(A344,Lists!$U$2:$U$14,Lists!$T$2:$T$14),""))</f>
        <v/>
      </c>
      <c r="C344" s="19"/>
      <c r="D344" s="19"/>
      <c r="E344" s="18" t="str">
        <f t="shared" si="1"/>
        <v/>
      </c>
      <c r="F344" s="19"/>
      <c r="G344" s="23"/>
      <c r="H344" s="19"/>
      <c r="I344" s="19"/>
      <c r="J344" s="19"/>
      <c r="K344" s="19"/>
      <c r="L344" s="30" t="str">
        <f>IFERROR(IF(K344="","",VLOOKUP(K344,Lists!$K$2:$O$61,5,FALSE)),"")</f>
        <v/>
      </c>
      <c r="M344" s="18" t="str">
        <f>IFERROR(IF(K344="","",VLOOKUP(K344,Lists!$K$2:$O$61,2,FALSE)),"")</f>
        <v/>
      </c>
      <c r="N344" s="18" t="str">
        <f>IFERROR(IF(K344="","",VLOOKUP(K344,Lists!$K$2:$O$61,3,FALSE)),"")</f>
        <v/>
      </c>
      <c r="O344" s="19"/>
      <c r="P344" s="31"/>
      <c r="Q344" s="32"/>
      <c r="R344" s="27"/>
    </row>
    <row r="345" ht="13.5" customHeight="1">
      <c r="A345" s="14"/>
      <c r="B345" s="18" t="str">
        <f>IF(A345="","",IFERROR(LOOKUP(A345,Lists!$U$2:$U$14,Lists!$T$2:$T$14),""))</f>
        <v/>
      </c>
      <c r="C345" s="19"/>
      <c r="D345" s="19"/>
      <c r="E345" s="18" t="str">
        <f t="shared" si="1"/>
        <v/>
      </c>
      <c r="F345" s="19"/>
      <c r="G345" s="23"/>
      <c r="H345" s="19"/>
      <c r="I345" s="19"/>
      <c r="J345" s="19"/>
      <c r="K345" s="19"/>
      <c r="L345" s="30" t="str">
        <f>IFERROR(IF(K345="","",VLOOKUP(K345,Lists!$K$2:$O$61,5,FALSE)),"")</f>
        <v/>
      </c>
      <c r="M345" s="18" t="str">
        <f>IFERROR(IF(K345="","",VLOOKUP(K345,Lists!$K$2:$O$61,2,FALSE)),"")</f>
        <v/>
      </c>
      <c r="N345" s="18" t="str">
        <f>IFERROR(IF(K345="","",VLOOKUP(K345,Lists!$K$2:$O$61,3,FALSE)),"")</f>
        <v/>
      </c>
      <c r="O345" s="19"/>
      <c r="P345" s="31"/>
      <c r="Q345" s="32"/>
      <c r="R345" s="27"/>
    </row>
    <row r="346" ht="13.5" customHeight="1">
      <c r="A346" s="14"/>
      <c r="B346" s="18" t="str">
        <f>IF(A346="","",IFERROR(LOOKUP(A346,Lists!$U$2:$U$14,Lists!$T$2:$T$14),""))</f>
        <v/>
      </c>
      <c r="C346" s="19"/>
      <c r="D346" s="19"/>
      <c r="E346" s="18" t="str">
        <f t="shared" si="1"/>
        <v/>
      </c>
      <c r="F346" s="19"/>
      <c r="G346" s="23"/>
      <c r="H346" s="19"/>
      <c r="I346" s="19"/>
      <c r="J346" s="19"/>
      <c r="K346" s="19"/>
      <c r="L346" s="30" t="str">
        <f>IFERROR(IF(K346="","",VLOOKUP(K346,Lists!$K$2:$O$61,5,FALSE)),"")</f>
        <v/>
      </c>
      <c r="M346" s="18" t="str">
        <f>IFERROR(IF(K346="","",VLOOKUP(K346,Lists!$K$2:$O$61,2,FALSE)),"")</f>
        <v/>
      </c>
      <c r="N346" s="18" t="str">
        <f>IFERROR(IF(K346="","",VLOOKUP(K346,Lists!$K$2:$O$61,3,FALSE)),"")</f>
        <v/>
      </c>
      <c r="O346" s="19"/>
      <c r="P346" s="31"/>
      <c r="Q346" s="32"/>
      <c r="R346" s="27"/>
    </row>
    <row r="347" ht="13.5" customHeight="1">
      <c r="A347" s="14"/>
      <c r="B347" s="18" t="str">
        <f>IF(A347="","",IFERROR(LOOKUP(A347,Lists!$U$2:$U$14,Lists!$T$2:$T$14),""))</f>
        <v/>
      </c>
      <c r="C347" s="19"/>
      <c r="D347" s="19"/>
      <c r="E347" s="18" t="str">
        <f t="shared" si="1"/>
        <v/>
      </c>
      <c r="F347" s="19"/>
      <c r="G347" s="23"/>
      <c r="H347" s="19"/>
      <c r="I347" s="19"/>
      <c r="J347" s="19"/>
      <c r="K347" s="19"/>
      <c r="L347" s="30" t="str">
        <f>IFERROR(IF(K347="","",VLOOKUP(K347,Lists!$K$2:$O$61,5,FALSE)),"")</f>
        <v/>
      </c>
      <c r="M347" s="18" t="str">
        <f>IFERROR(IF(K347="","",VLOOKUP(K347,Lists!$K$2:$O$61,2,FALSE)),"")</f>
        <v/>
      </c>
      <c r="N347" s="18" t="str">
        <f>IFERROR(IF(K347="","",VLOOKUP(K347,Lists!$K$2:$O$61,3,FALSE)),"")</f>
        <v/>
      </c>
      <c r="O347" s="19"/>
      <c r="P347" s="31"/>
      <c r="Q347" s="32"/>
      <c r="R347" s="27"/>
    </row>
    <row r="348" ht="13.5" customHeight="1">
      <c r="A348" s="14"/>
      <c r="B348" s="18" t="str">
        <f>IF(A348="","",IFERROR(LOOKUP(A348,Lists!$U$2:$U$14,Lists!$T$2:$T$14),""))</f>
        <v/>
      </c>
      <c r="C348" s="19"/>
      <c r="D348" s="19"/>
      <c r="E348" s="18" t="str">
        <f t="shared" si="1"/>
        <v/>
      </c>
      <c r="F348" s="19"/>
      <c r="G348" s="23"/>
      <c r="H348" s="19"/>
      <c r="I348" s="19"/>
      <c r="J348" s="19"/>
      <c r="K348" s="19"/>
      <c r="L348" s="30" t="str">
        <f>IFERROR(IF(K348="","",VLOOKUP(K348,Lists!$K$2:$O$61,5,FALSE)),"")</f>
        <v/>
      </c>
      <c r="M348" s="18" t="str">
        <f>IFERROR(IF(K348="","",VLOOKUP(K348,Lists!$K$2:$O$61,2,FALSE)),"")</f>
        <v/>
      </c>
      <c r="N348" s="18" t="str">
        <f>IFERROR(IF(K348="","",VLOOKUP(K348,Lists!$K$2:$O$61,3,FALSE)),"")</f>
        <v/>
      </c>
      <c r="O348" s="19"/>
      <c r="P348" s="31"/>
      <c r="Q348" s="32"/>
      <c r="R348" s="27"/>
    </row>
    <row r="349" ht="13.5" customHeight="1">
      <c r="A349" s="14"/>
      <c r="B349" s="18" t="str">
        <f>IF(A349="","",IFERROR(LOOKUP(A349,Lists!$U$2:$U$14,Lists!$T$2:$T$14),""))</f>
        <v/>
      </c>
      <c r="C349" s="19"/>
      <c r="D349" s="19"/>
      <c r="E349" s="18" t="str">
        <f t="shared" si="1"/>
        <v/>
      </c>
      <c r="F349" s="19"/>
      <c r="G349" s="23"/>
      <c r="H349" s="19"/>
      <c r="I349" s="19"/>
      <c r="J349" s="19"/>
      <c r="K349" s="19"/>
      <c r="L349" s="30" t="str">
        <f>IFERROR(IF(K349="","",VLOOKUP(K349,Lists!$K$2:$O$61,5,FALSE)),"")</f>
        <v/>
      </c>
      <c r="M349" s="18" t="str">
        <f>IFERROR(IF(K349="","",VLOOKUP(K349,Lists!$K$2:$O$61,2,FALSE)),"")</f>
        <v/>
      </c>
      <c r="N349" s="18" t="str">
        <f>IFERROR(IF(K349="","",VLOOKUP(K349,Lists!$K$2:$O$61,3,FALSE)),"")</f>
        <v/>
      </c>
      <c r="O349" s="19"/>
      <c r="P349" s="31"/>
      <c r="Q349" s="32"/>
      <c r="R349" s="27"/>
    </row>
    <row r="350" ht="13.5" customHeight="1">
      <c r="A350" s="14"/>
      <c r="B350" s="18" t="str">
        <f>IF(A350="","",IFERROR(LOOKUP(A350,Lists!$U$2:$U$14,Lists!$T$2:$T$14),""))</f>
        <v/>
      </c>
      <c r="C350" s="19"/>
      <c r="D350" s="19"/>
      <c r="E350" s="18" t="str">
        <f t="shared" si="1"/>
        <v/>
      </c>
      <c r="F350" s="19"/>
      <c r="G350" s="23"/>
      <c r="H350" s="19"/>
      <c r="I350" s="19"/>
      <c r="J350" s="19"/>
      <c r="K350" s="19"/>
      <c r="L350" s="30" t="str">
        <f>IFERROR(IF(K350="","",VLOOKUP(K350,Lists!$K$2:$O$61,5,FALSE)),"")</f>
        <v/>
      </c>
      <c r="M350" s="18" t="str">
        <f>IFERROR(IF(K350="","",VLOOKUP(K350,Lists!$K$2:$O$61,2,FALSE)),"")</f>
        <v/>
      </c>
      <c r="N350" s="18" t="str">
        <f>IFERROR(IF(K350="","",VLOOKUP(K350,Lists!$K$2:$O$61,3,FALSE)),"")</f>
        <v/>
      </c>
      <c r="O350" s="19"/>
      <c r="P350" s="31"/>
      <c r="Q350" s="32"/>
      <c r="R350" s="27"/>
    </row>
    <row r="351" ht="13.5" customHeight="1">
      <c r="A351" s="14"/>
      <c r="B351" s="18" t="str">
        <f>IF(A351="","",IFERROR(LOOKUP(A351,Lists!$U$2:$U$14,Lists!$T$2:$T$14),""))</f>
        <v/>
      </c>
      <c r="C351" s="19"/>
      <c r="D351" s="19"/>
      <c r="E351" s="18" t="str">
        <f t="shared" si="1"/>
        <v/>
      </c>
      <c r="F351" s="19"/>
      <c r="G351" s="23"/>
      <c r="H351" s="19"/>
      <c r="I351" s="19"/>
      <c r="J351" s="19"/>
      <c r="K351" s="19"/>
      <c r="L351" s="30" t="str">
        <f>IFERROR(IF(K351="","",VLOOKUP(K351,Lists!$K$2:$O$61,5,FALSE)),"")</f>
        <v/>
      </c>
      <c r="M351" s="18" t="str">
        <f>IFERROR(IF(K351="","",VLOOKUP(K351,Lists!$K$2:$O$61,2,FALSE)),"")</f>
        <v/>
      </c>
      <c r="N351" s="18" t="str">
        <f>IFERROR(IF(K351="","",VLOOKUP(K351,Lists!$K$2:$O$61,3,FALSE)),"")</f>
        <v/>
      </c>
      <c r="O351" s="19"/>
      <c r="P351" s="31"/>
      <c r="Q351" s="32"/>
      <c r="R351" s="27"/>
    </row>
    <row r="352" ht="13.5" customHeight="1">
      <c r="A352" s="14"/>
      <c r="B352" s="18" t="str">
        <f>IF(A352="","",IFERROR(LOOKUP(A352,Lists!$U$2:$U$14,Lists!$T$2:$T$14),""))</f>
        <v/>
      </c>
      <c r="C352" s="19"/>
      <c r="D352" s="19"/>
      <c r="E352" s="18" t="str">
        <f t="shared" si="1"/>
        <v/>
      </c>
      <c r="F352" s="19"/>
      <c r="G352" s="23"/>
      <c r="H352" s="19"/>
      <c r="I352" s="19"/>
      <c r="J352" s="19"/>
      <c r="K352" s="19"/>
      <c r="L352" s="30" t="str">
        <f>IFERROR(IF(K352="","",VLOOKUP(K352,Lists!$K$2:$O$61,5,FALSE)),"")</f>
        <v/>
      </c>
      <c r="M352" s="18" t="str">
        <f>IFERROR(IF(K352="","",VLOOKUP(K352,Lists!$K$2:$O$61,2,FALSE)),"")</f>
        <v/>
      </c>
      <c r="N352" s="18" t="str">
        <f>IFERROR(IF(K352="","",VLOOKUP(K352,Lists!$K$2:$O$61,3,FALSE)),"")</f>
        <v/>
      </c>
      <c r="O352" s="19"/>
      <c r="P352" s="31"/>
      <c r="Q352" s="32"/>
      <c r="R352" s="27"/>
    </row>
    <row r="353" ht="13.5" customHeight="1">
      <c r="A353" s="14"/>
      <c r="B353" s="18" t="str">
        <f>IF(A353="","",IFERROR(LOOKUP(A353,Lists!$U$2:$U$14,Lists!$T$2:$T$14),""))</f>
        <v/>
      </c>
      <c r="C353" s="19"/>
      <c r="D353" s="19"/>
      <c r="E353" s="18" t="str">
        <f t="shared" si="1"/>
        <v/>
      </c>
      <c r="F353" s="19"/>
      <c r="G353" s="23"/>
      <c r="H353" s="19"/>
      <c r="I353" s="19"/>
      <c r="J353" s="19"/>
      <c r="K353" s="19"/>
      <c r="L353" s="30" t="str">
        <f>IFERROR(IF(K353="","",VLOOKUP(K353,Lists!$K$2:$O$61,5,FALSE)),"")</f>
        <v/>
      </c>
      <c r="M353" s="18" t="str">
        <f>IFERROR(IF(K353="","",VLOOKUP(K353,Lists!$K$2:$O$61,2,FALSE)),"")</f>
        <v/>
      </c>
      <c r="N353" s="18" t="str">
        <f>IFERROR(IF(K353="","",VLOOKUP(K353,Lists!$K$2:$O$61,3,FALSE)),"")</f>
        <v/>
      </c>
      <c r="O353" s="19"/>
      <c r="P353" s="31"/>
      <c r="Q353" s="32"/>
      <c r="R353" s="27"/>
    </row>
    <row r="354" ht="13.5" customHeight="1">
      <c r="A354" s="14"/>
      <c r="B354" s="18" t="str">
        <f>IF(A354="","",IFERROR(LOOKUP(A354,Lists!$U$2:$U$14,Lists!$T$2:$T$14),""))</f>
        <v/>
      </c>
      <c r="C354" s="19"/>
      <c r="D354" s="19"/>
      <c r="E354" s="18" t="str">
        <f t="shared" si="1"/>
        <v/>
      </c>
      <c r="F354" s="19"/>
      <c r="G354" s="23"/>
      <c r="H354" s="19"/>
      <c r="I354" s="19"/>
      <c r="J354" s="19"/>
      <c r="K354" s="19"/>
      <c r="L354" s="30" t="str">
        <f>IFERROR(IF(K354="","",VLOOKUP(K354,Lists!$K$2:$O$61,5,FALSE)),"")</f>
        <v/>
      </c>
      <c r="M354" s="18" t="str">
        <f>IFERROR(IF(K354="","",VLOOKUP(K354,Lists!$K$2:$O$61,2,FALSE)),"")</f>
        <v/>
      </c>
      <c r="N354" s="18" t="str">
        <f>IFERROR(IF(K354="","",VLOOKUP(K354,Lists!$K$2:$O$61,3,FALSE)),"")</f>
        <v/>
      </c>
      <c r="O354" s="19"/>
      <c r="P354" s="31"/>
      <c r="Q354" s="32"/>
      <c r="R354" s="27"/>
    </row>
    <row r="355" ht="13.5" customHeight="1">
      <c r="A355" s="14"/>
      <c r="B355" s="18" t="str">
        <f>IF(A355="","",IFERROR(LOOKUP(A355,Lists!$U$2:$U$14,Lists!$T$2:$T$14),""))</f>
        <v/>
      </c>
      <c r="C355" s="19"/>
      <c r="D355" s="19"/>
      <c r="E355" s="18" t="str">
        <f t="shared" si="1"/>
        <v/>
      </c>
      <c r="F355" s="19"/>
      <c r="G355" s="23"/>
      <c r="H355" s="19"/>
      <c r="I355" s="19"/>
      <c r="J355" s="19"/>
      <c r="K355" s="19"/>
      <c r="L355" s="30" t="str">
        <f>IFERROR(IF(K355="","",VLOOKUP(K355,Lists!$K$2:$O$61,5,FALSE)),"")</f>
        <v/>
      </c>
      <c r="M355" s="18" t="str">
        <f>IFERROR(IF(K355="","",VLOOKUP(K355,Lists!$K$2:$O$61,2,FALSE)),"")</f>
        <v/>
      </c>
      <c r="N355" s="18" t="str">
        <f>IFERROR(IF(K355="","",VLOOKUP(K355,Lists!$K$2:$O$61,3,FALSE)),"")</f>
        <v/>
      </c>
      <c r="O355" s="19"/>
      <c r="P355" s="31"/>
      <c r="Q355" s="32"/>
      <c r="R355" s="27"/>
    </row>
    <row r="356" ht="13.5" customHeight="1">
      <c r="A356" s="14"/>
      <c r="B356" s="18" t="str">
        <f>IF(A356="","",IFERROR(LOOKUP(A356,Lists!$U$2:$U$14,Lists!$T$2:$T$14),""))</f>
        <v/>
      </c>
      <c r="C356" s="19"/>
      <c r="D356" s="19"/>
      <c r="E356" s="18" t="str">
        <f t="shared" si="1"/>
        <v/>
      </c>
      <c r="F356" s="19"/>
      <c r="G356" s="23"/>
      <c r="H356" s="19"/>
      <c r="I356" s="19"/>
      <c r="J356" s="19"/>
      <c r="K356" s="19"/>
      <c r="L356" s="30" t="str">
        <f>IFERROR(IF(K356="","",VLOOKUP(K356,Lists!$K$2:$O$61,5,FALSE)),"")</f>
        <v/>
      </c>
      <c r="M356" s="18" t="str">
        <f>IFERROR(IF(K356="","",VLOOKUP(K356,Lists!$K$2:$O$61,2,FALSE)),"")</f>
        <v/>
      </c>
      <c r="N356" s="18" t="str">
        <f>IFERROR(IF(K356="","",VLOOKUP(K356,Lists!$K$2:$O$61,3,FALSE)),"")</f>
        <v/>
      </c>
      <c r="O356" s="19"/>
      <c r="P356" s="31"/>
      <c r="Q356" s="32"/>
      <c r="R356" s="27"/>
    </row>
    <row r="357" ht="13.5" customHeight="1">
      <c r="A357" s="14"/>
      <c r="B357" s="18" t="str">
        <f>IF(A357="","",IFERROR(LOOKUP(A357,Lists!$U$2:$U$14,Lists!$T$2:$T$14),""))</f>
        <v/>
      </c>
      <c r="C357" s="19"/>
      <c r="D357" s="19"/>
      <c r="E357" s="18" t="str">
        <f t="shared" si="1"/>
        <v/>
      </c>
      <c r="F357" s="19"/>
      <c r="G357" s="23"/>
      <c r="H357" s="19"/>
      <c r="I357" s="19"/>
      <c r="J357" s="19"/>
      <c r="K357" s="19"/>
      <c r="L357" s="30" t="str">
        <f>IFERROR(IF(K357="","",VLOOKUP(K357,Lists!$K$2:$O$61,5,FALSE)),"")</f>
        <v/>
      </c>
      <c r="M357" s="18" t="str">
        <f>IFERROR(IF(K357="","",VLOOKUP(K357,Lists!$K$2:$O$61,2,FALSE)),"")</f>
        <v/>
      </c>
      <c r="N357" s="18" t="str">
        <f>IFERROR(IF(K357="","",VLOOKUP(K357,Lists!$K$2:$O$61,3,FALSE)),"")</f>
        <v/>
      </c>
      <c r="O357" s="19"/>
      <c r="P357" s="31"/>
      <c r="Q357" s="32"/>
      <c r="R357" s="27"/>
    </row>
    <row r="358" ht="13.5" customHeight="1">
      <c r="A358" s="14"/>
      <c r="B358" s="18" t="str">
        <f>IF(A358="","",IFERROR(LOOKUP(A358,Lists!$U$2:$U$14,Lists!$T$2:$T$14),""))</f>
        <v/>
      </c>
      <c r="C358" s="19"/>
      <c r="D358" s="19"/>
      <c r="E358" s="18" t="str">
        <f t="shared" si="1"/>
        <v/>
      </c>
      <c r="F358" s="19"/>
      <c r="G358" s="23"/>
      <c r="H358" s="19"/>
      <c r="I358" s="19"/>
      <c r="J358" s="19"/>
      <c r="K358" s="19"/>
      <c r="L358" s="30" t="str">
        <f>IFERROR(IF(K358="","",VLOOKUP(K358,Lists!$K$2:$O$61,5,FALSE)),"")</f>
        <v/>
      </c>
      <c r="M358" s="18" t="str">
        <f>IFERROR(IF(K358="","",VLOOKUP(K358,Lists!$K$2:$O$61,2,FALSE)),"")</f>
        <v/>
      </c>
      <c r="N358" s="18" t="str">
        <f>IFERROR(IF(K358="","",VLOOKUP(K358,Lists!$K$2:$O$61,3,FALSE)),"")</f>
        <v/>
      </c>
      <c r="O358" s="19"/>
      <c r="P358" s="31"/>
      <c r="Q358" s="32"/>
      <c r="R358" s="27"/>
    </row>
    <row r="359" ht="13.5" customHeight="1">
      <c r="A359" s="14"/>
      <c r="B359" s="18" t="str">
        <f>IF(A359="","",IFERROR(LOOKUP(A359,Lists!$U$2:$U$14,Lists!$T$2:$T$14),""))</f>
        <v/>
      </c>
      <c r="C359" s="19"/>
      <c r="D359" s="19"/>
      <c r="E359" s="18" t="str">
        <f t="shared" si="1"/>
        <v/>
      </c>
      <c r="F359" s="19"/>
      <c r="G359" s="23"/>
      <c r="H359" s="19"/>
      <c r="I359" s="19"/>
      <c r="J359" s="19"/>
      <c r="K359" s="19"/>
      <c r="L359" s="30" t="str">
        <f>IFERROR(IF(K359="","",VLOOKUP(K359,Lists!$K$2:$O$61,5,FALSE)),"")</f>
        <v/>
      </c>
      <c r="M359" s="18" t="str">
        <f>IFERROR(IF(K359="","",VLOOKUP(K359,Lists!$K$2:$O$61,2,FALSE)),"")</f>
        <v/>
      </c>
      <c r="N359" s="18" t="str">
        <f>IFERROR(IF(K359="","",VLOOKUP(K359,Lists!$K$2:$O$61,3,FALSE)),"")</f>
        <v/>
      </c>
      <c r="O359" s="19"/>
      <c r="P359" s="31"/>
      <c r="Q359" s="32"/>
      <c r="R359" s="27"/>
    </row>
    <row r="360" ht="13.5" customHeight="1">
      <c r="A360" s="14"/>
      <c r="B360" s="18" t="str">
        <f>IF(A360="","",IFERROR(LOOKUP(A360,Lists!$U$2:$U$14,Lists!$T$2:$T$14),""))</f>
        <v/>
      </c>
      <c r="C360" s="19"/>
      <c r="D360" s="19"/>
      <c r="E360" s="18" t="str">
        <f t="shared" si="1"/>
        <v/>
      </c>
      <c r="F360" s="19"/>
      <c r="G360" s="23"/>
      <c r="H360" s="19"/>
      <c r="I360" s="19"/>
      <c r="J360" s="19"/>
      <c r="K360" s="19"/>
      <c r="L360" s="30" t="str">
        <f>IFERROR(IF(K360="","",VLOOKUP(K360,Lists!$K$2:$O$61,5,FALSE)),"")</f>
        <v/>
      </c>
      <c r="M360" s="18" t="str">
        <f>IFERROR(IF(K360="","",VLOOKUP(K360,Lists!$K$2:$O$61,2,FALSE)),"")</f>
        <v/>
      </c>
      <c r="N360" s="18" t="str">
        <f>IFERROR(IF(K360="","",VLOOKUP(K360,Lists!$K$2:$O$61,3,FALSE)),"")</f>
        <v/>
      </c>
      <c r="O360" s="19"/>
      <c r="P360" s="31"/>
      <c r="Q360" s="32"/>
      <c r="R360" s="27"/>
    </row>
    <row r="361" ht="13.5" customHeight="1">
      <c r="A361" s="14"/>
      <c r="B361" s="18" t="str">
        <f>IF(A361="","",IFERROR(LOOKUP(A361,Lists!$U$2:$U$14,Lists!$T$2:$T$14),""))</f>
        <v/>
      </c>
      <c r="C361" s="19"/>
      <c r="D361" s="19"/>
      <c r="E361" s="18" t="str">
        <f t="shared" si="1"/>
        <v/>
      </c>
      <c r="F361" s="19"/>
      <c r="G361" s="23"/>
      <c r="H361" s="19"/>
      <c r="I361" s="19"/>
      <c r="J361" s="19"/>
      <c r="K361" s="19"/>
      <c r="L361" s="30" t="str">
        <f>IFERROR(IF(K361="","",VLOOKUP(K361,Lists!$K$2:$O$61,5,FALSE)),"")</f>
        <v/>
      </c>
      <c r="M361" s="18" t="str">
        <f>IFERROR(IF(K361="","",VLOOKUP(K361,Lists!$K$2:$O$61,2,FALSE)),"")</f>
        <v/>
      </c>
      <c r="N361" s="18" t="str">
        <f>IFERROR(IF(K361="","",VLOOKUP(K361,Lists!$K$2:$O$61,3,FALSE)),"")</f>
        <v/>
      </c>
      <c r="O361" s="19"/>
      <c r="P361" s="31"/>
      <c r="Q361" s="32"/>
      <c r="R361" s="27"/>
    </row>
    <row r="362" ht="13.5" customHeight="1">
      <c r="A362" s="14"/>
      <c r="B362" s="18" t="str">
        <f>IF(A362="","",IFERROR(LOOKUP(A362,Lists!$U$2:$U$14,Lists!$T$2:$T$14),""))</f>
        <v/>
      </c>
      <c r="C362" s="19"/>
      <c r="D362" s="19"/>
      <c r="E362" s="18" t="str">
        <f t="shared" si="1"/>
        <v/>
      </c>
      <c r="F362" s="19"/>
      <c r="G362" s="23"/>
      <c r="H362" s="19"/>
      <c r="I362" s="19"/>
      <c r="J362" s="19"/>
      <c r="K362" s="19"/>
      <c r="L362" s="30" t="str">
        <f>IFERROR(IF(K362="","",VLOOKUP(K362,Lists!$K$2:$O$61,5,FALSE)),"")</f>
        <v/>
      </c>
      <c r="M362" s="18" t="str">
        <f>IFERROR(IF(K362="","",VLOOKUP(K362,Lists!$K$2:$O$61,2,FALSE)),"")</f>
        <v/>
      </c>
      <c r="N362" s="18" t="str">
        <f>IFERROR(IF(K362="","",VLOOKUP(K362,Lists!$K$2:$O$61,3,FALSE)),"")</f>
        <v/>
      </c>
      <c r="O362" s="19"/>
      <c r="P362" s="31"/>
      <c r="Q362" s="32"/>
      <c r="R362" s="27"/>
    </row>
    <row r="363" ht="13.5" customHeight="1">
      <c r="A363" s="14"/>
      <c r="B363" s="18" t="str">
        <f>IF(A363="","",IFERROR(LOOKUP(A363,Lists!$U$2:$U$14,Lists!$T$2:$T$14),""))</f>
        <v/>
      </c>
      <c r="C363" s="19"/>
      <c r="D363" s="19"/>
      <c r="E363" s="18" t="str">
        <f t="shared" si="1"/>
        <v/>
      </c>
      <c r="F363" s="19"/>
      <c r="G363" s="23"/>
      <c r="H363" s="19"/>
      <c r="I363" s="19"/>
      <c r="J363" s="19"/>
      <c r="K363" s="19"/>
      <c r="L363" s="30" t="str">
        <f>IFERROR(IF(K363="","",VLOOKUP(K363,Lists!$K$2:$O$61,5,FALSE)),"")</f>
        <v/>
      </c>
      <c r="M363" s="18" t="str">
        <f>IFERROR(IF(K363="","",VLOOKUP(K363,Lists!$K$2:$O$61,2,FALSE)),"")</f>
        <v/>
      </c>
      <c r="N363" s="18" t="str">
        <f>IFERROR(IF(K363="","",VLOOKUP(K363,Lists!$K$2:$O$61,3,FALSE)),"")</f>
        <v/>
      </c>
      <c r="O363" s="19"/>
      <c r="P363" s="31"/>
      <c r="Q363" s="32"/>
      <c r="R363" s="27"/>
    </row>
    <row r="364" ht="13.5" customHeight="1">
      <c r="A364" s="14"/>
      <c r="B364" s="18" t="str">
        <f>IF(A364="","",IFERROR(LOOKUP(A364,Lists!$U$2:$U$14,Lists!$T$2:$T$14),""))</f>
        <v/>
      </c>
      <c r="C364" s="19"/>
      <c r="D364" s="19"/>
      <c r="E364" s="18" t="str">
        <f t="shared" si="1"/>
        <v/>
      </c>
      <c r="F364" s="19"/>
      <c r="G364" s="23"/>
      <c r="H364" s="19"/>
      <c r="I364" s="19"/>
      <c r="J364" s="19"/>
      <c r="K364" s="19"/>
      <c r="L364" s="30" t="str">
        <f>IFERROR(IF(K364="","",VLOOKUP(K364,Lists!$K$2:$O$61,5,FALSE)),"")</f>
        <v/>
      </c>
      <c r="M364" s="18" t="str">
        <f>IFERROR(IF(K364="","",VLOOKUP(K364,Lists!$K$2:$O$61,2,FALSE)),"")</f>
        <v/>
      </c>
      <c r="N364" s="18" t="str">
        <f>IFERROR(IF(K364="","",VLOOKUP(K364,Lists!$K$2:$O$61,3,FALSE)),"")</f>
        <v/>
      </c>
      <c r="O364" s="19"/>
      <c r="P364" s="31"/>
      <c r="Q364" s="32"/>
      <c r="R364" s="27"/>
    </row>
    <row r="365" ht="13.5" customHeight="1">
      <c r="A365" s="14"/>
      <c r="B365" s="18" t="str">
        <f>IF(A365="","",IFERROR(LOOKUP(A365,Lists!$U$2:$U$14,Lists!$T$2:$T$14),""))</f>
        <v/>
      </c>
      <c r="C365" s="19"/>
      <c r="D365" s="19"/>
      <c r="E365" s="18" t="str">
        <f t="shared" si="1"/>
        <v/>
      </c>
      <c r="F365" s="19"/>
      <c r="G365" s="23"/>
      <c r="H365" s="19"/>
      <c r="I365" s="19"/>
      <c r="J365" s="19"/>
      <c r="K365" s="19"/>
      <c r="L365" s="30" t="str">
        <f>IFERROR(IF(K365="","",VLOOKUP(K365,Lists!$K$2:$O$61,5,FALSE)),"")</f>
        <v/>
      </c>
      <c r="M365" s="18" t="str">
        <f>IFERROR(IF(K365="","",VLOOKUP(K365,Lists!$K$2:$O$61,2,FALSE)),"")</f>
        <v/>
      </c>
      <c r="N365" s="18" t="str">
        <f>IFERROR(IF(K365="","",VLOOKUP(K365,Lists!$K$2:$O$61,3,FALSE)),"")</f>
        <v/>
      </c>
      <c r="O365" s="19"/>
      <c r="P365" s="31"/>
      <c r="Q365" s="32"/>
      <c r="R365" s="27"/>
    </row>
    <row r="366" ht="13.5" customHeight="1">
      <c r="A366" s="14"/>
      <c r="B366" s="18" t="str">
        <f>IF(A366="","",IFERROR(LOOKUP(A366,Lists!$U$2:$U$14,Lists!$T$2:$T$14),""))</f>
        <v/>
      </c>
      <c r="C366" s="19"/>
      <c r="D366" s="19"/>
      <c r="E366" s="18" t="str">
        <f t="shared" si="1"/>
        <v/>
      </c>
      <c r="F366" s="19"/>
      <c r="G366" s="23"/>
      <c r="H366" s="19"/>
      <c r="I366" s="19"/>
      <c r="J366" s="19"/>
      <c r="K366" s="19"/>
      <c r="L366" s="30" t="str">
        <f>IFERROR(IF(K366="","",VLOOKUP(K366,Lists!$K$2:$O$61,5,FALSE)),"")</f>
        <v/>
      </c>
      <c r="M366" s="18" t="str">
        <f>IFERROR(IF(K366="","",VLOOKUP(K366,Lists!$K$2:$O$61,2,FALSE)),"")</f>
        <v/>
      </c>
      <c r="N366" s="18" t="str">
        <f>IFERROR(IF(K366="","",VLOOKUP(K366,Lists!$K$2:$O$61,3,FALSE)),"")</f>
        <v/>
      </c>
      <c r="O366" s="19"/>
      <c r="P366" s="31"/>
      <c r="Q366" s="32"/>
      <c r="R366" s="27"/>
    </row>
    <row r="367" ht="13.5" customHeight="1">
      <c r="A367" s="14"/>
      <c r="B367" s="18" t="str">
        <f>IF(A367="","",IFERROR(LOOKUP(A367,Lists!$U$2:$U$14,Lists!$T$2:$T$14),""))</f>
        <v/>
      </c>
      <c r="C367" s="19"/>
      <c r="D367" s="19"/>
      <c r="E367" s="18" t="str">
        <f t="shared" si="1"/>
        <v/>
      </c>
      <c r="F367" s="19"/>
      <c r="G367" s="23"/>
      <c r="H367" s="19"/>
      <c r="I367" s="19"/>
      <c r="J367" s="19"/>
      <c r="K367" s="19"/>
      <c r="L367" s="30" t="str">
        <f>IFERROR(IF(K367="","",VLOOKUP(K367,Lists!$K$2:$O$61,5,FALSE)),"")</f>
        <v/>
      </c>
      <c r="M367" s="18" t="str">
        <f>IFERROR(IF(K367="","",VLOOKUP(K367,Lists!$K$2:$O$61,2,FALSE)),"")</f>
        <v/>
      </c>
      <c r="N367" s="18" t="str">
        <f>IFERROR(IF(K367="","",VLOOKUP(K367,Lists!$K$2:$O$61,3,FALSE)),"")</f>
        <v/>
      </c>
      <c r="O367" s="19"/>
      <c r="P367" s="31"/>
      <c r="Q367" s="32"/>
      <c r="R367" s="27"/>
    </row>
    <row r="368" ht="13.5" customHeight="1">
      <c r="A368" s="14"/>
      <c r="B368" s="18" t="str">
        <f>IF(A368="","",IFERROR(LOOKUP(A368,Lists!$U$2:$U$14,Lists!$T$2:$T$14),""))</f>
        <v/>
      </c>
      <c r="C368" s="19"/>
      <c r="D368" s="19"/>
      <c r="E368" s="18" t="str">
        <f t="shared" si="1"/>
        <v/>
      </c>
      <c r="F368" s="19"/>
      <c r="G368" s="23"/>
      <c r="H368" s="19"/>
      <c r="I368" s="19"/>
      <c r="J368" s="19"/>
      <c r="K368" s="19"/>
      <c r="L368" s="30" t="str">
        <f>IFERROR(IF(K368="","",VLOOKUP(K368,Lists!$K$2:$O$61,5,FALSE)),"")</f>
        <v/>
      </c>
      <c r="M368" s="18" t="str">
        <f>IFERROR(IF(K368="","",VLOOKUP(K368,Lists!$K$2:$O$61,2,FALSE)),"")</f>
        <v/>
      </c>
      <c r="N368" s="18" t="str">
        <f>IFERROR(IF(K368="","",VLOOKUP(K368,Lists!$K$2:$O$61,3,FALSE)),"")</f>
        <v/>
      </c>
      <c r="O368" s="19"/>
      <c r="P368" s="31"/>
      <c r="Q368" s="32"/>
      <c r="R368" s="27"/>
    </row>
    <row r="369" ht="13.5" customHeight="1">
      <c r="A369" s="14"/>
      <c r="B369" s="18" t="str">
        <f>IF(A369="","",IFERROR(LOOKUP(A369,Lists!$U$2:$U$14,Lists!$T$2:$T$14),""))</f>
        <v/>
      </c>
      <c r="C369" s="19"/>
      <c r="D369" s="19"/>
      <c r="E369" s="18" t="str">
        <f t="shared" si="1"/>
        <v/>
      </c>
      <c r="F369" s="19"/>
      <c r="G369" s="23"/>
      <c r="H369" s="19"/>
      <c r="I369" s="19"/>
      <c r="J369" s="19"/>
      <c r="K369" s="19"/>
      <c r="L369" s="30" t="str">
        <f>IFERROR(IF(K369="","",VLOOKUP(K369,Lists!$K$2:$O$61,5,FALSE)),"")</f>
        <v/>
      </c>
      <c r="M369" s="18" t="str">
        <f>IFERROR(IF(K369="","",VLOOKUP(K369,Lists!$K$2:$O$61,2,FALSE)),"")</f>
        <v/>
      </c>
      <c r="N369" s="18" t="str">
        <f>IFERROR(IF(K369="","",VLOOKUP(K369,Lists!$K$2:$O$61,3,FALSE)),"")</f>
        <v/>
      </c>
      <c r="O369" s="19"/>
      <c r="P369" s="31"/>
      <c r="Q369" s="32"/>
      <c r="R369" s="27"/>
    </row>
    <row r="370" ht="13.5" customHeight="1">
      <c r="A370" s="14"/>
      <c r="B370" s="18" t="str">
        <f>IF(A370="","",IFERROR(LOOKUP(A370,Lists!$U$2:$U$14,Lists!$T$2:$T$14),""))</f>
        <v/>
      </c>
      <c r="C370" s="19"/>
      <c r="D370" s="19"/>
      <c r="E370" s="18" t="str">
        <f t="shared" si="1"/>
        <v/>
      </c>
      <c r="F370" s="19"/>
      <c r="G370" s="23"/>
      <c r="H370" s="19"/>
      <c r="I370" s="19"/>
      <c r="J370" s="19"/>
      <c r="K370" s="19"/>
      <c r="L370" s="30" t="str">
        <f>IFERROR(IF(K370="","",VLOOKUP(K370,Lists!$K$2:$O$61,5,FALSE)),"")</f>
        <v/>
      </c>
      <c r="M370" s="18" t="str">
        <f>IFERROR(IF(K370="","",VLOOKUP(K370,Lists!$K$2:$O$61,2,FALSE)),"")</f>
        <v/>
      </c>
      <c r="N370" s="18" t="str">
        <f>IFERROR(IF(K370="","",VLOOKUP(K370,Lists!$K$2:$O$61,3,FALSE)),"")</f>
        <v/>
      </c>
      <c r="O370" s="19"/>
      <c r="P370" s="31"/>
      <c r="Q370" s="32"/>
      <c r="R370" s="27"/>
    </row>
    <row r="371" ht="13.5" customHeight="1">
      <c r="A371" s="14"/>
      <c r="B371" s="18" t="str">
        <f>IF(A371="","",IFERROR(LOOKUP(A371,Lists!$U$2:$U$14,Lists!$T$2:$T$14),""))</f>
        <v/>
      </c>
      <c r="C371" s="19"/>
      <c r="D371" s="19"/>
      <c r="E371" s="18" t="str">
        <f t="shared" si="1"/>
        <v/>
      </c>
      <c r="F371" s="19"/>
      <c r="G371" s="23"/>
      <c r="H371" s="19"/>
      <c r="I371" s="19"/>
      <c r="J371" s="19"/>
      <c r="K371" s="19"/>
      <c r="L371" s="30" t="str">
        <f>IFERROR(IF(K371="","",VLOOKUP(K371,Lists!$K$2:$O$61,5,FALSE)),"")</f>
        <v/>
      </c>
      <c r="M371" s="18" t="str">
        <f>IFERROR(IF(K371="","",VLOOKUP(K371,Lists!$K$2:$O$61,2,FALSE)),"")</f>
        <v/>
      </c>
      <c r="N371" s="18" t="str">
        <f>IFERROR(IF(K371="","",VLOOKUP(K371,Lists!$K$2:$O$61,3,FALSE)),"")</f>
        <v/>
      </c>
      <c r="O371" s="19"/>
      <c r="P371" s="31"/>
      <c r="Q371" s="32"/>
      <c r="R371" s="27"/>
    </row>
    <row r="372" ht="13.5" customHeight="1">
      <c r="A372" s="14"/>
      <c r="B372" s="18" t="str">
        <f>IF(A372="","",IFERROR(LOOKUP(A372,Lists!$U$2:$U$14,Lists!$T$2:$T$14),""))</f>
        <v/>
      </c>
      <c r="C372" s="19"/>
      <c r="D372" s="19"/>
      <c r="E372" s="18" t="str">
        <f t="shared" si="1"/>
        <v/>
      </c>
      <c r="F372" s="19"/>
      <c r="G372" s="23"/>
      <c r="H372" s="19"/>
      <c r="I372" s="19"/>
      <c r="J372" s="19"/>
      <c r="K372" s="19"/>
      <c r="L372" s="30" t="str">
        <f>IFERROR(IF(K372="","",VLOOKUP(K372,Lists!$K$2:$O$61,5,FALSE)),"")</f>
        <v/>
      </c>
      <c r="M372" s="18" t="str">
        <f>IFERROR(IF(K372="","",VLOOKUP(K372,Lists!$K$2:$O$61,2,FALSE)),"")</f>
        <v/>
      </c>
      <c r="N372" s="18" t="str">
        <f>IFERROR(IF(K372="","",VLOOKUP(K372,Lists!$K$2:$O$61,3,FALSE)),"")</f>
        <v/>
      </c>
      <c r="O372" s="19"/>
      <c r="P372" s="31"/>
      <c r="Q372" s="32"/>
      <c r="R372" s="27"/>
    </row>
    <row r="373" ht="13.5" customHeight="1">
      <c r="A373" s="14"/>
      <c r="B373" s="18" t="str">
        <f>IF(A373="","",IFERROR(LOOKUP(A373,Lists!$U$2:$U$14,Lists!$T$2:$T$14),""))</f>
        <v/>
      </c>
      <c r="C373" s="19"/>
      <c r="D373" s="19"/>
      <c r="E373" s="18" t="str">
        <f t="shared" si="1"/>
        <v/>
      </c>
      <c r="F373" s="19"/>
      <c r="G373" s="23"/>
      <c r="H373" s="19"/>
      <c r="I373" s="19"/>
      <c r="J373" s="19"/>
      <c r="K373" s="19"/>
      <c r="L373" s="30" t="str">
        <f>IFERROR(IF(K373="","",VLOOKUP(K373,Lists!$K$2:$O$61,5,FALSE)),"")</f>
        <v/>
      </c>
      <c r="M373" s="18" t="str">
        <f>IFERROR(IF(K373="","",VLOOKUP(K373,Lists!$K$2:$O$61,2,FALSE)),"")</f>
        <v/>
      </c>
      <c r="N373" s="18" t="str">
        <f>IFERROR(IF(K373="","",VLOOKUP(K373,Lists!$K$2:$O$61,3,FALSE)),"")</f>
        <v/>
      </c>
      <c r="O373" s="19"/>
      <c r="P373" s="31"/>
      <c r="Q373" s="32"/>
      <c r="R373" s="27"/>
    </row>
    <row r="374" ht="13.5" customHeight="1">
      <c r="A374" s="14"/>
      <c r="B374" s="18" t="str">
        <f>IF(A374="","",IFERROR(LOOKUP(A374,Lists!$U$2:$U$14,Lists!$T$2:$T$14),""))</f>
        <v/>
      </c>
      <c r="C374" s="19"/>
      <c r="D374" s="19"/>
      <c r="E374" s="18" t="str">
        <f t="shared" si="1"/>
        <v/>
      </c>
      <c r="F374" s="19"/>
      <c r="G374" s="23"/>
      <c r="H374" s="19"/>
      <c r="I374" s="19"/>
      <c r="J374" s="19"/>
      <c r="K374" s="19"/>
      <c r="L374" s="30" t="str">
        <f>IFERROR(IF(K374="","",VLOOKUP(K374,Lists!$K$2:$O$61,5,FALSE)),"")</f>
        <v/>
      </c>
      <c r="M374" s="18" t="str">
        <f>IFERROR(IF(K374="","",VLOOKUP(K374,Lists!$K$2:$O$61,2,FALSE)),"")</f>
        <v/>
      </c>
      <c r="N374" s="18" t="str">
        <f>IFERROR(IF(K374="","",VLOOKUP(K374,Lists!$K$2:$O$61,3,FALSE)),"")</f>
        <v/>
      </c>
      <c r="O374" s="19"/>
      <c r="P374" s="31"/>
      <c r="Q374" s="32"/>
      <c r="R374" s="27"/>
    </row>
    <row r="375" ht="13.5" customHeight="1">
      <c r="A375" s="14"/>
      <c r="B375" s="18" t="str">
        <f>IF(A375="","",IFERROR(LOOKUP(A375,Lists!$U$2:$U$14,Lists!$T$2:$T$14),""))</f>
        <v/>
      </c>
      <c r="C375" s="19"/>
      <c r="D375" s="19"/>
      <c r="E375" s="18" t="str">
        <f t="shared" si="1"/>
        <v/>
      </c>
      <c r="F375" s="19"/>
      <c r="G375" s="23"/>
      <c r="H375" s="19"/>
      <c r="I375" s="19"/>
      <c r="J375" s="19"/>
      <c r="K375" s="19"/>
      <c r="L375" s="30" t="str">
        <f>IFERROR(IF(K375="","",VLOOKUP(K375,Lists!$K$2:$O$61,5,FALSE)),"")</f>
        <v/>
      </c>
      <c r="M375" s="18" t="str">
        <f>IFERROR(IF(K375="","",VLOOKUP(K375,Lists!$K$2:$O$61,2,FALSE)),"")</f>
        <v/>
      </c>
      <c r="N375" s="18" t="str">
        <f>IFERROR(IF(K375="","",VLOOKUP(K375,Lists!$K$2:$O$61,3,FALSE)),"")</f>
        <v/>
      </c>
      <c r="O375" s="19"/>
      <c r="P375" s="31"/>
      <c r="Q375" s="32"/>
      <c r="R375" s="27"/>
    </row>
    <row r="376" ht="13.5" customHeight="1">
      <c r="A376" s="14"/>
      <c r="B376" s="18" t="str">
        <f>IF(A376="","",IFERROR(LOOKUP(A376,Lists!$U$2:$U$14,Lists!$T$2:$T$14),""))</f>
        <v/>
      </c>
      <c r="C376" s="19"/>
      <c r="D376" s="19"/>
      <c r="E376" s="18" t="str">
        <f t="shared" si="1"/>
        <v/>
      </c>
      <c r="F376" s="19"/>
      <c r="G376" s="23"/>
      <c r="H376" s="19"/>
      <c r="I376" s="19"/>
      <c r="J376" s="19"/>
      <c r="K376" s="19"/>
      <c r="L376" s="30" t="str">
        <f>IFERROR(IF(K376="","",VLOOKUP(K376,Lists!$K$2:$O$61,5,FALSE)),"")</f>
        <v/>
      </c>
      <c r="M376" s="18" t="str">
        <f>IFERROR(IF(K376="","",VLOOKUP(K376,Lists!$K$2:$O$61,2,FALSE)),"")</f>
        <v/>
      </c>
      <c r="N376" s="18" t="str">
        <f>IFERROR(IF(K376="","",VLOOKUP(K376,Lists!$K$2:$O$61,3,FALSE)),"")</f>
        <v/>
      </c>
      <c r="O376" s="19"/>
      <c r="P376" s="31"/>
      <c r="Q376" s="32"/>
      <c r="R376" s="27"/>
    </row>
    <row r="377" ht="13.5" customHeight="1">
      <c r="A377" s="14"/>
      <c r="B377" s="18" t="str">
        <f>IF(A377="","",IFERROR(LOOKUP(A377,Lists!$U$2:$U$14,Lists!$T$2:$T$14),""))</f>
        <v/>
      </c>
      <c r="C377" s="19"/>
      <c r="D377" s="19"/>
      <c r="E377" s="18" t="str">
        <f t="shared" si="1"/>
        <v/>
      </c>
      <c r="F377" s="19"/>
      <c r="G377" s="23"/>
      <c r="H377" s="19"/>
      <c r="I377" s="19"/>
      <c r="J377" s="19"/>
      <c r="K377" s="19"/>
      <c r="L377" s="30" t="str">
        <f>IFERROR(IF(K377="","",VLOOKUP(K377,Lists!$K$2:$O$61,5,FALSE)),"")</f>
        <v/>
      </c>
      <c r="M377" s="18" t="str">
        <f>IFERROR(IF(K377="","",VLOOKUP(K377,Lists!$K$2:$O$61,2,FALSE)),"")</f>
        <v/>
      </c>
      <c r="N377" s="18" t="str">
        <f>IFERROR(IF(K377="","",VLOOKUP(K377,Lists!$K$2:$O$61,3,FALSE)),"")</f>
        <v/>
      </c>
      <c r="O377" s="19"/>
      <c r="P377" s="31"/>
      <c r="Q377" s="32"/>
      <c r="R377" s="27"/>
    </row>
    <row r="378" ht="13.5" customHeight="1">
      <c r="A378" s="14"/>
      <c r="B378" s="18" t="str">
        <f>IF(A378="","",IFERROR(LOOKUP(A378,Lists!$U$2:$U$14,Lists!$T$2:$T$14),""))</f>
        <v/>
      </c>
      <c r="C378" s="19"/>
      <c r="D378" s="19"/>
      <c r="E378" s="18" t="str">
        <f t="shared" si="1"/>
        <v/>
      </c>
      <c r="F378" s="19"/>
      <c r="G378" s="23"/>
      <c r="H378" s="19"/>
      <c r="I378" s="19"/>
      <c r="J378" s="19"/>
      <c r="K378" s="19"/>
      <c r="L378" s="30" t="str">
        <f>IFERROR(IF(K378="","",VLOOKUP(K378,Lists!$K$2:$O$61,5,FALSE)),"")</f>
        <v/>
      </c>
      <c r="M378" s="18" t="str">
        <f>IFERROR(IF(K378="","",VLOOKUP(K378,Lists!$K$2:$O$61,2,FALSE)),"")</f>
        <v/>
      </c>
      <c r="N378" s="18" t="str">
        <f>IFERROR(IF(K378="","",VLOOKUP(K378,Lists!$K$2:$O$61,3,FALSE)),"")</f>
        <v/>
      </c>
      <c r="O378" s="19"/>
      <c r="P378" s="31"/>
      <c r="Q378" s="32"/>
      <c r="R378" s="27"/>
    </row>
    <row r="379" ht="13.5" customHeight="1">
      <c r="A379" s="14"/>
      <c r="B379" s="18" t="str">
        <f>IF(A379="","",IFERROR(LOOKUP(A379,Lists!$U$2:$U$14,Lists!$T$2:$T$14),""))</f>
        <v/>
      </c>
      <c r="C379" s="19"/>
      <c r="D379" s="19"/>
      <c r="E379" s="18" t="str">
        <f t="shared" si="1"/>
        <v/>
      </c>
      <c r="F379" s="19"/>
      <c r="G379" s="23"/>
      <c r="H379" s="19"/>
      <c r="I379" s="19"/>
      <c r="J379" s="19"/>
      <c r="K379" s="19"/>
      <c r="L379" s="30" t="str">
        <f>IFERROR(IF(K379="","",VLOOKUP(K379,Lists!$K$2:$O$61,5,FALSE)),"")</f>
        <v/>
      </c>
      <c r="M379" s="18" t="str">
        <f>IFERROR(IF(K379="","",VLOOKUP(K379,Lists!$K$2:$O$61,2,FALSE)),"")</f>
        <v/>
      </c>
      <c r="N379" s="18" t="str">
        <f>IFERROR(IF(K379="","",VLOOKUP(K379,Lists!$K$2:$O$61,3,FALSE)),"")</f>
        <v/>
      </c>
      <c r="O379" s="19"/>
      <c r="P379" s="31"/>
      <c r="Q379" s="32"/>
      <c r="R379" s="27"/>
    </row>
    <row r="380" ht="13.5" customHeight="1">
      <c r="A380" s="14"/>
      <c r="B380" s="18" t="str">
        <f>IF(A380="","",IFERROR(LOOKUP(A380,Lists!$U$2:$U$14,Lists!$T$2:$T$14),""))</f>
        <v/>
      </c>
      <c r="C380" s="19"/>
      <c r="D380" s="19"/>
      <c r="E380" s="18" t="str">
        <f t="shared" si="1"/>
        <v/>
      </c>
      <c r="F380" s="19"/>
      <c r="G380" s="23"/>
      <c r="H380" s="19"/>
      <c r="I380" s="19"/>
      <c r="J380" s="19"/>
      <c r="K380" s="19"/>
      <c r="L380" s="30" t="str">
        <f>IFERROR(IF(K380="","",VLOOKUP(K380,Lists!$K$2:$O$61,5,FALSE)),"")</f>
        <v/>
      </c>
      <c r="M380" s="18" t="str">
        <f>IFERROR(IF(K380="","",VLOOKUP(K380,Lists!$K$2:$O$61,2,FALSE)),"")</f>
        <v/>
      </c>
      <c r="N380" s="18" t="str">
        <f>IFERROR(IF(K380="","",VLOOKUP(K380,Lists!$K$2:$O$61,3,FALSE)),"")</f>
        <v/>
      </c>
      <c r="O380" s="19"/>
      <c r="P380" s="31"/>
      <c r="Q380" s="32"/>
      <c r="R380" s="27"/>
    </row>
    <row r="381" ht="13.5" customHeight="1">
      <c r="A381" s="14"/>
      <c r="B381" s="18" t="str">
        <f>IF(A381="","",IFERROR(LOOKUP(A381,Lists!$U$2:$U$14,Lists!$T$2:$T$14),""))</f>
        <v/>
      </c>
      <c r="C381" s="19"/>
      <c r="D381" s="19"/>
      <c r="E381" s="18" t="str">
        <f t="shared" si="1"/>
        <v/>
      </c>
      <c r="F381" s="19"/>
      <c r="G381" s="23"/>
      <c r="H381" s="19"/>
      <c r="I381" s="19"/>
      <c r="J381" s="19"/>
      <c r="K381" s="19"/>
      <c r="L381" s="30" t="str">
        <f>IFERROR(IF(K381="","",VLOOKUP(K381,Lists!$K$2:$O$61,5,FALSE)),"")</f>
        <v/>
      </c>
      <c r="M381" s="18" t="str">
        <f>IFERROR(IF(K381="","",VLOOKUP(K381,Lists!$K$2:$O$61,2,FALSE)),"")</f>
        <v/>
      </c>
      <c r="N381" s="18" t="str">
        <f>IFERROR(IF(K381="","",VLOOKUP(K381,Lists!$K$2:$O$61,3,FALSE)),"")</f>
        <v/>
      </c>
      <c r="O381" s="19"/>
      <c r="P381" s="31"/>
      <c r="Q381" s="32"/>
      <c r="R381" s="27"/>
    </row>
    <row r="382" ht="13.5" customHeight="1">
      <c r="A382" s="14"/>
      <c r="B382" s="18" t="str">
        <f>IF(A382="","",IFERROR(LOOKUP(A382,Lists!$U$2:$U$14,Lists!$T$2:$T$14),""))</f>
        <v/>
      </c>
      <c r="C382" s="19"/>
      <c r="D382" s="19"/>
      <c r="E382" s="18" t="str">
        <f t="shared" si="1"/>
        <v/>
      </c>
      <c r="F382" s="19"/>
      <c r="G382" s="23"/>
      <c r="H382" s="19"/>
      <c r="I382" s="19"/>
      <c r="J382" s="19"/>
      <c r="K382" s="19"/>
      <c r="L382" s="30" t="str">
        <f>IFERROR(IF(K382="","",VLOOKUP(K382,Lists!$K$2:$O$61,5,FALSE)),"")</f>
        <v/>
      </c>
      <c r="M382" s="18" t="str">
        <f>IFERROR(IF(K382="","",VLOOKUP(K382,Lists!$K$2:$O$61,2,FALSE)),"")</f>
        <v/>
      </c>
      <c r="N382" s="18" t="str">
        <f>IFERROR(IF(K382="","",VLOOKUP(K382,Lists!$K$2:$O$61,3,FALSE)),"")</f>
        <v/>
      </c>
      <c r="O382" s="19"/>
      <c r="P382" s="31"/>
      <c r="Q382" s="32"/>
      <c r="R382" s="27"/>
    </row>
    <row r="383" ht="13.5" customHeight="1">
      <c r="A383" s="14"/>
      <c r="B383" s="18" t="str">
        <f>IF(A383="","",IFERROR(LOOKUP(A383,Lists!$U$2:$U$14,Lists!$T$2:$T$14),""))</f>
        <v/>
      </c>
      <c r="C383" s="19"/>
      <c r="D383" s="19"/>
      <c r="E383" s="18" t="str">
        <f t="shared" si="1"/>
        <v/>
      </c>
      <c r="F383" s="19"/>
      <c r="G383" s="23"/>
      <c r="H383" s="19"/>
      <c r="I383" s="19"/>
      <c r="J383" s="19"/>
      <c r="K383" s="19"/>
      <c r="L383" s="30" t="str">
        <f>IFERROR(IF(K383="","",VLOOKUP(K383,Lists!$K$2:$O$61,5,FALSE)),"")</f>
        <v/>
      </c>
      <c r="M383" s="18" t="str">
        <f>IFERROR(IF(K383="","",VLOOKUP(K383,Lists!$K$2:$O$61,2,FALSE)),"")</f>
        <v/>
      </c>
      <c r="N383" s="18" t="str">
        <f>IFERROR(IF(K383="","",VLOOKUP(K383,Lists!$K$2:$O$61,3,FALSE)),"")</f>
        <v/>
      </c>
      <c r="O383" s="19"/>
      <c r="P383" s="31"/>
      <c r="Q383" s="32"/>
      <c r="R383" s="27"/>
    </row>
    <row r="384" ht="13.5" customHeight="1">
      <c r="A384" s="14"/>
      <c r="B384" s="18" t="str">
        <f>IF(A384="","",IFERROR(LOOKUP(A384,Lists!$U$2:$U$14,Lists!$T$2:$T$14),""))</f>
        <v/>
      </c>
      <c r="C384" s="19"/>
      <c r="D384" s="19"/>
      <c r="E384" s="18" t="str">
        <f t="shared" si="1"/>
        <v/>
      </c>
      <c r="F384" s="19"/>
      <c r="G384" s="23"/>
      <c r="H384" s="19"/>
      <c r="I384" s="19"/>
      <c r="J384" s="19"/>
      <c r="K384" s="19"/>
      <c r="L384" s="30" t="str">
        <f>IFERROR(IF(K384="","",VLOOKUP(K384,Lists!$K$2:$O$61,5,FALSE)),"")</f>
        <v/>
      </c>
      <c r="M384" s="18" t="str">
        <f>IFERROR(IF(K384="","",VLOOKUP(K384,Lists!$K$2:$O$61,2,FALSE)),"")</f>
        <v/>
      </c>
      <c r="N384" s="18" t="str">
        <f>IFERROR(IF(K384="","",VLOOKUP(K384,Lists!$K$2:$O$61,3,FALSE)),"")</f>
        <v/>
      </c>
      <c r="O384" s="19"/>
      <c r="P384" s="31"/>
      <c r="Q384" s="32"/>
      <c r="R384" s="27"/>
    </row>
    <row r="385" ht="13.5" customHeight="1">
      <c r="A385" s="14"/>
      <c r="B385" s="18" t="str">
        <f>IF(A385="","",IFERROR(LOOKUP(A385,Lists!$U$2:$U$14,Lists!$T$2:$T$14),""))</f>
        <v/>
      </c>
      <c r="C385" s="19"/>
      <c r="D385" s="19"/>
      <c r="E385" s="18" t="str">
        <f t="shared" si="1"/>
        <v/>
      </c>
      <c r="F385" s="19"/>
      <c r="G385" s="23"/>
      <c r="H385" s="19"/>
      <c r="I385" s="19"/>
      <c r="J385" s="19"/>
      <c r="K385" s="19"/>
      <c r="L385" s="30" t="str">
        <f>IFERROR(IF(K385="","",VLOOKUP(K385,Lists!$K$2:$O$61,5,FALSE)),"")</f>
        <v/>
      </c>
      <c r="M385" s="18" t="str">
        <f>IFERROR(IF(K385="","",VLOOKUP(K385,Lists!$K$2:$O$61,2,FALSE)),"")</f>
        <v/>
      </c>
      <c r="N385" s="18" t="str">
        <f>IFERROR(IF(K385="","",VLOOKUP(K385,Lists!$K$2:$O$61,3,FALSE)),"")</f>
        <v/>
      </c>
      <c r="O385" s="19"/>
      <c r="P385" s="31"/>
      <c r="Q385" s="32"/>
      <c r="R385" s="27"/>
    </row>
    <row r="386" ht="13.5" customHeight="1">
      <c r="A386" s="14"/>
      <c r="B386" s="18" t="str">
        <f>IF(A386="","",IFERROR(LOOKUP(A386,Lists!$U$2:$U$14,Lists!$T$2:$T$14),""))</f>
        <v/>
      </c>
      <c r="C386" s="19"/>
      <c r="D386" s="19"/>
      <c r="E386" s="18" t="str">
        <f t="shared" si="1"/>
        <v/>
      </c>
      <c r="F386" s="19"/>
      <c r="G386" s="23"/>
      <c r="H386" s="19"/>
      <c r="I386" s="19"/>
      <c r="J386" s="19"/>
      <c r="K386" s="19"/>
      <c r="L386" s="30" t="str">
        <f>IFERROR(IF(K386="","",VLOOKUP(K386,Lists!$K$2:$O$61,5,FALSE)),"")</f>
        <v/>
      </c>
      <c r="M386" s="18" t="str">
        <f>IFERROR(IF(K386="","",VLOOKUP(K386,Lists!$K$2:$O$61,2,FALSE)),"")</f>
        <v/>
      </c>
      <c r="N386" s="18" t="str">
        <f>IFERROR(IF(K386="","",VLOOKUP(K386,Lists!$K$2:$O$61,3,FALSE)),"")</f>
        <v/>
      </c>
      <c r="O386" s="19"/>
      <c r="P386" s="31"/>
      <c r="Q386" s="32"/>
      <c r="R386" s="27"/>
    </row>
    <row r="387" ht="13.5" customHeight="1">
      <c r="A387" s="14"/>
      <c r="B387" s="18" t="str">
        <f>IF(A387="","",IFERROR(LOOKUP(A387,Lists!$U$2:$U$14,Lists!$T$2:$T$14),""))</f>
        <v/>
      </c>
      <c r="C387" s="19"/>
      <c r="D387" s="19"/>
      <c r="E387" s="18" t="str">
        <f t="shared" si="1"/>
        <v/>
      </c>
      <c r="F387" s="19"/>
      <c r="G387" s="23"/>
      <c r="H387" s="19"/>
      <c r="I387" s="19"/>
      <c r="J387" s="19"/>
      <c r="K387" s="19"/>
      <c r="L387" s="30" t="str">
        <f>IFERROR(IF(K387="","",VLOOKUP(K387,Lists!$K$2:$O$61,5,FALSE)),"")</f>
        <v/>
      </c>
      <c r="M387" s="18" t="str">
        <f>IFERROR(IF(K387="","",VLOOKUP(K387,Lists!$K$2:$O$61,2,FALSE)),"")</f>
        <v/>
      </c>
      <c r="N387" s="18" t="str">
        <f>IFERROR(IF(K387="","",VLOOKUP(K387,Lists!$K$2:$O$61,3,FALSE)),"")</f>
        <v/>
      </c>
      <c r="O387" s="19"/>
      <c r="P387" s="31"/>
      <c r="Q387" s="32"/>
      <c r="R387" s="27"/>
    </row>
    <row r="388" ht="13.5" customHeight="1">
      <c r="A388" s="14"/>
      <c r="B388" s="18" t="str">
        <f>IF(A388="","",IFERROR(LOOKUP(A388,Lists!$U$2:$U$14,Lists!$T$2:$T$14),""))</f>
        <v/>
      </c>
      <c r="C388" s="19"/>
      <c r="D388" s="19"/>
      <c r="E388" s="18" t="str">
        <f t="shared" si="1"/>
        <v/>
      </c>
      <c r="F388" s="19"/>
      <c r="G388" s="23"/>
      <c r="H388" s="19"/>
      <c r="I388" s="19"/>
      <c r="J388" s="19"/>
      <c r="K388" s="19"/>
      <c r="L388" s="30" t="str">
        <f>IFERROR(IF(K388="","",VLOOKUP(K388,Lists!$K$2:$O$61,5,FALSE)),"")</f>
        <v/>
      </c>
      <c r="M388" s="18" t="str">
        <f>IFERROR(IF(K388="","",VLOOKUP(K388,Lists!$K$2:$O$61,2,FALSE)),"")</f>
        <v/>
      </c>
      <c r="N388" s="18" t="str">
        <f>IFERROR(IF(K388="","",VLOOKUP(K388,Lists!$K$2:$O$61,3,FALSE)),"")</f>
        <v/>
      </c>
      <c r="O388" s="19"/>
      <c r="P388" s="31"/>
      <c r="Q388" s="32"/>
      <c r="R388" s="27"/>
    </row>
    <row r="389" ht="13.5" customHeight="1">
      <c r="A389" s="14"/>
      <c r="B389" s="18" t="str">
        <f>IF(A389="","",IFERROR(LOOKUP(A389,Lists!$U$2:$U$14,Lists!$T$2:$T$14),""))</f>
        <v/>
      </c>
      <c r="C389" s="19"/>
      <c r="D389" s="19"/>
      <c r="E389" s="18" t="str">
        <f t="shared" si="1"/>
        <v/>
      </c>
      <c r="F389" s="19"/>
      <c r="G389" s="23"/>
      <c r="H389" s="19"/>
      <c r="I389" s="19"/>
      <c r="J389" s="19"/>
      <c r="K389" s="19"/>
      <c r="L389" s="30" t="str">
        <f>IFERROR(IF(K389="","",VLOOKUP(K389,Lists!$K$2:$O$61,5,FALSE)),"")</f>
        <v/>
      </c>
      <c r="M389" s="18" t="str">
        <f>IFERROR(IF(K389="","",VLOOKUP(K389,Lists!$K$2:$O$61,2,FALSE)),"")</f>
        <v/>
      </c>
      <c r="N389" s="18" t="str">
        <f>IFERROR(IF(K389="","",VLOOKUP(K389,Lists!$K$2:$O$61,3,FALSE)),"")</f>
        <v/>
      </c>
      <c r="O389" s="19"/>
      <c r="P389" s="31"/>
      <c r="Q389" s="32"/>
      <c r="R389" s="27"/>
    </row>
    <row r="390" ht="13.5" customHeight="1">
      <c r="A390" s="14"/>
      <c r="B390" s="18" t="str">
        <f>IF(A390="","",IFERROR(LOOKUP(A390,Lists!$U$2:$U$14,Lists!$T$2:$T$14),""))</f>
        <v/>
      </c>
      <c r="C390" s="19"/>
      <c r="D390" s="19"/>
      <c r="E390" s="18" t="str">
        <f t="shared" si="1"/>
        <v/>
      </c>
      <c r="F390" s="19"/>
      <c r="G390" s="23"/>
      <c r="H390" s="19"/>
      <c r="I390" s="19"/>
      <c r="J390" s="19"/>
      <c r="K390" s="19"/>
      <c r="L390" s="30" t="str">
        <f>IFERROR(IF(K390="","",VLOOKUP(K390,Lists!$K$2:$O$61,5,FALSE)),"")</f>
        <v/>
      </c>
      <c r="M390" s="18" t="str">
        <f>IFERROR(IF(K390="","",VLOOKUP(K390,Lists!$K$2:$O$61,2,FALSE)),"")</f>
        <v/>
      </c>
      <c r="N390" s="18" t="str">
        <f>IFERROR(IF(K390="","",VLOOKUP(K390,Lists!$K$2:$O$61,3,FALSE)),"")</f>
        <v/>
      </c>
      <c r="O390" s="19"/>
      <c r="P390" s="31"/>
      <c r="Q390" s="32"/>
      <c r="R390" s="27"/>
    </row>
    <row r="391" ht="13.5" customHeight="1">
      <c r="A391" s="14"/>
      <c r="B391" s="18" t="str">
        <f>IF(A391="","",IFERROR(LOOKUP(A391,Lists!$U$2:$U$14,Lists!$T$2:$T$14),""))</f>
        <v/>
      </c>
      <c r="C391" s="19"/>
      <c r="D391" s="19"/>
      <c r="E391" s="18" t="str">
        <f t="shared" si="1"/>
        <v/>
      </c>
      <c r="F391" s="19"/>
      <c r="G391" s="23"/>
      <c r="H391" s="19"/>
      <c r="I391" s="19"/>
      <c r="J391" s="19"/>
      <c r="K391" s="19"/>
      <c r="L391" s="30" t="str">
        <f>IFERROR(IF(K391="","",VLOOKUP(K391,Lists!$K$2:$O$61,5,FALSE)),"")</f>
        <v/>
      </c>
      <c r="M391" s="18" t="str">
        <f>IFERROR(IF(K391="","",VLOOKUP(K391,Lists!$K$2:$O$61,2,FALSE)),"")</f>
        <v/>
      </c>
      <c r="N391" s="18" t="str">
        <f>IFERROR(IF(K391="","",VLOOKUP(K391,Lists!$K$2:$O$61,3,FALSE)),"")</f>
        <v/>
      </c>
      <c r="O391" s="19"/>
      <c r="P391" s="31"/>
      <c r="Q391" s="32"/>
      <c r="R391" s="27"/>
    </row>
    <row r="392" ht="13.5" customHeight="1">
      <c r="A392" s="14"/>
      <c r="B392" s="18" t="str">
        <f>IF(A392="","",IFERROR(LOOKUP(A392,Lists!$U$2:$U$14,Lists!$T$2:$T$14),""))</f>
        <v/>
      </c>
      <c r="C392" s="19"/>
      <c r="D392" s="19"/>
      <c r="E392" s="18" t="str">
        <f t="shared" si="1"/>
        <v/>
      </c>
      <c r="F392" s="19"/>
      <c r="G392" s="23"/>
      <c r="H392" s="19"/>
      <c r="I392" s="19"/>
      <c r="J392" s="19"/>
      <c r="K392" s="19"/>
      <c r="L392" s="30" t="str">
        <f>IFERROR(IF(K392="","",VLOOKUP(K392,Lists!$K$2:$O$61,5,FALSE)),"")</f>
        <v/>
      </c>
      <c r="M392" s="18" t="str">
        <f>IFERROR(IF(K392="","",VLOOKUP(K392,Lists!$K$2:$O$61,2,FALSE)),"")</f>
        <v/>
      </c>
      <c r="N392" s="18" t="str">
        <f>IFERROR(IF(K392="","",VLOOKUP(K392,Lists!$K$2:$O$61,3,FALSE)),"")</f>
        <v/>
      </c>
      <c r="O392" s="19"/>
      <c r="P392" s="31"/>
      <c r="Q392" s="32"/>
      <c r="R392" s="27"/>
    </row>
    <row r="393" ht="13.5" customHeight="1">
      <c r="A393" s="14"/>
      <c r="B393" s="18" t="str">
        <f>IF(A393="","",IFERROR(LOOKUP(A393,Lists!$U$2:$U$14,Lists!$T$2:$T$14),""))</f>
        <v/>
      </c>
      <c r="C393" s="19"/>
      <c r="D393" s="19"/>
      <c r="E393" s="18" t="str">
        <f t="shared" si="1"/>
        <v/>
      </c>
      <c r="F393" s="19"/>
      <c r="G393" s="23"/>
      <c r="H393" s="19"/>
      <c r="I393" s="19"/>
      <c r="J393" s="19"/>
      <c r="K393" s="19"/>
      <c r="L393" s="30" t="str">
        <f>IFERROR(IF(K393="","",VLOOKUP(K393,Lists!$K$2:$O$61,5,FALSE)),"")</f>
        <v/>
      </c>
      <c r="M393" s="18" t="str">
        <f>IFERROR(IF(K393="","",VLOOKUP(K393,Lists!$K$2:$O$61,2,FALSE)),"")</f>
        <v/>
      </c>
      <c r="N393" s="18" t="str">
        <f>IFERROR(IF(K393="","",VLOOKUP(K393,Lists!$K$2:$O$61,3,FALSE)),"")</f>
        <v/>
      </c>
      <c r="O393" s="19"/>
      <c r="P393" s="31"/>
      <c r="Q393" s="32"/>
      <c r="R393" s="27"/>
    </row>
    <row r="394" ht="13.5" customHeight="1">
      <c r="A394" s="14"/>
      <c r="B394" s="18" t="str">
        <f>IF(A394="","",IFERROR(LOOKUP(A394,Lists!$U$2:$U$14,Lists!$T$2:$T$14),""))</f>
        <v/>
      </c>
      <c r="C394" s="19"/>
      <c r="D394" s="19"/>
      <c r="E394" s="18" t="str">
        <f t="shared" si="1"/>
        <v/>
      </c>
      <c r="F394" s="19"/>
      <c r="G394" s="23"/>
      <c r="H394" s="19"/>
      <c r="I394" s="19"/>
      <c r="J394" s="19"/>
      <c r="K394" s="19"/>
      <c r="L394" s="30" t="str">
        <f>IFERROR(IF(K394="","",VLOOKUP(K394,Lists!$K$2:$O$61,5,FALSE)),"")</f>
        <v/>
      </c>
      <c r="M394" s="18" t="str">
        <f>IFERROR(IF(K394="","",VLOOKUP(K394,Lists!$K$2:$O$61,2,FALSE)),"")</f>
        <v/>
      </c>
      <c r="N394" s="18" t="str">
        <f>IFERROR(IF(K394="","",VLOOKUP(K394,Lists!$K$2:$O$61,3,FALSE)),"")</f>
        <v/>
      </c>
      <c r="O394" s="19"/>
      <c r="P394" s="31"/>
      <c r="Q394" s="32"/>
      <c r="R394" s="27"/>
    </row>
    <row r="395" ht="13.5" customHeight="1">
      <c r="A395" s="14"/>
      <c r="B395" s="18" t="str">
        <f>IF(A395="","",IFERROR(LOOKUP(A395,Lists!$U$2:$U$14,Lists!$T$2:$T$14),""))</f>
        <v/>
      </c>
      <c r="C395" s="19"/>
      <c r="D395" s="19"/>
      <c r="E395" s="18" t="str">
        <f t="shared" si="1"/>
        <v/>
      </c>
      <c r="F395" s="19"/>
      <c r="G395" s="23"/>
      <c r="H395" s="19"/>
      <c r="I395" s="19"/>
      <c r="J395" s="19"/>
      <c r="K395" s="19"/>
      <c r="L395" s="30" t="str">
        <f>IFERROR(IF(K395="","",VLOOKUP(K395,Lists!$K$2:$O$61,5,FALSE)),"")</f>
        <v/>
      </c>
      <c r="M395" s="18" t="str">
        <f>IFERROR(IF(K395="","",VLOOKUP(K395,Lists!$K$2:$O$61,2,FALSE)),"")</f>
        <v/>
      </c>
      <c r="N395" s="18" t="str">
        <f>IFERROR(IF(K395="","",VLOOKUP(K395,Lists!$K$2:$O$61,3,FALSE)),"")</f>
        <v/>
      </c>
      <c r="O395" s="19"/>
      <c r="P395" s="31"/>
      <c r="Q395" s="32"/>
      <c r="R395" s="27"/>
    </row>
    <row r="396" ht="13.5" customHeight="1">
      <c r="A396" s="14"/>
      <c r="B396" s="18" t="str">
        <f>IF(A396="","",IFERROR(LOOKUP(A396,Lists!$U$2:$U$14,Lists!$T$2:$T$14),""))</f>
        <v/>
      </c>
      <c r="C396" s="19"/>
      <c r="D396" s="19"/>
      <c r="E396" s="18" t="str">
        <f t="shared" si="1"/>
        <v/>
      </c>
      <c r="F396" s="19"/>
      <c r="G396" s="23"/>
      <c r="H396" s="19"/>
      <c r="I396" s="19"/>
      <c r="J396" s="19"/>
      <c r="K396" s="19"/>
      <c r="L396" s="30" t="str">
        <f>IFERROR(IF(K396="","",VLOOKUP(K396,Lists!$K$2:$O$61,5,FALSE)),"")</f>
        <v/>
      </c>
      <c r="M396" s="18" t="str">
        <f>IFERROR(IF(K396="","",VLOOKUP(K396,Lists!$K$2:$O$61,2,FALSE)),"")</f>
        <v/>
      </c>
      <c r="N396" s="18" t="str">
        <f>IFERROR(IF(K396="","",VLOOKUP(K396,Lists!$K$2:$O$61,3,FALSE)),"")</f>
        <v/>
      </c>
      <c r="O396" s="19"/>
      <c r="P396" s="31"/>
      <c r="Q396" s="32"/>
      <c r="R396" s="27"/>
    </row>
    <row r="397" ht="13.5" customHeight="1">
      <c r="A397" s="14"/>
      <c r="B397" s="18" t="str">
        <f>IF(A397="","",IFERROR(LOOKUP(A397,Lists!$U$2:$U$14,Lists!$T$2:$T$14),""))</f>
        <v/>
      </c>
      <c r="C397" s="19"/>
      <c r="D397" s="19"/>
      <c r="E397" s="18" t="str">
        <f t="shared" si="1"/>
        <v/>
      </c>
      <c r="F397" s="19"/>
      <c r="G397" s="23"/>
      <c r="H397" s="19"/>
      <c r="I397" s="19"/>
      <c r="J397" s="19"/>
      <c r="K397" s="19"/>
      <c r="L397" s="30" t="str">
        <f>IFERROR(IF(K397="","",VLOOKUP(K397,Lists!$K$2:$O$61,5,FALSE)),"")</f>
        <v/>
      </c>
      <c r="M397" s="18" t="str">
        <f>IFERROR(IF(K397="","",VLOOKUP(K397,Lists!$K$2:$O$61,2,FALSE)),"")</f>
        <v/>
      </c>
      <c r="N397" s="18" t="str">
        <f>IFERROR(IF(K397="","",VLOOKUP(K397,Lists!$K$2:$O$61,3,FALSE)),"")</f>
        <v/>
      </c>
      <c r="O397" s="19"/>
      <c r="P397" s="31"/>
      <c r="Q397" s="32"/>
      <c r="R397" s="27"/>
    </row>
    <row r="398" ht="13.5" customHeight="1">
      <c r="A398" s="14"/>
      <c r="B398" s="18" t="str">
        <f>IF(A398="","",IFERROR(LOOKUP(A398,Lists!$U$2:$U$14,Lists!$T$2:$T$14),""))</f>
        <v/>
      </c>
      <c r="C398" s="19"/>
      <c r="D398" s="19"/>
      <c r="E398" s="18" t="str">
        <f t="shared" si="1"/>
        <v/>
      </c>
      <c r="F398" s="19"/>
      <c r="G398" s="23"/>
      <c r="H398" s="19"/>
      <c r="I398" s="19"/>
      <c r="J398" s="19"/>
      <c r="K398" s="19"/>
      <c r="L398" s="30" t="str">
        <f>IFERROR(IF(K398="","",VLOOKUP(K398,Lists!$K$2:$O$61,5,FALSE)),"")</f>
        <v/>
      </c>
      <c r="M398" s="18" t="str">
        <f>IFERROR(IF(K398="","",VLOOKUP(K398,Lists!$K$2:$O$61,2,FALSE)),"")</f>
        <v/>
      </c>
      <c r="N398" s="18" t="str">
        <f>IFERROR(IF(K398="","",VLOOKUP(K398,Lists!$K$2:$O$61,3,FALSE)),"")</f>
        <v/>
      </c>
      <c r="O398" s="19"/>
      <c r="P398" s="31"/>
      <c r="Q398" s="32"/>
      <c r="R398" s="27"/>
    </row>
    <row r="399" ht="13.5" customHeight="1">
      <c r="A399" s="14"/>
      <c r="B399" s="18" t="str">
        <f>IF(A399="","",IFERROR(LOOKUP(A399,Lists!$U$2:$U$14,Lists!$T$2:$T$14),""))</f>
        <v/>
      </c>
      <c r="C399" s="19"/>
      <c r="D399" s="19"/>
      <c r="E399" s="18" t="str">
        <f t="shared" si="1"/>
        <v/>
      </c>
      <c r="F399" s="19"/>
      <c r="G399" s="23"/>
      <c r="H399" s="19"/>
      <c r="I399" s="19"/>
      <c r="J399" s="19"/>
      <c r="K399" s="19"/>
      <c r="L399" s="30" t="str">
        <f>IFERROR(IF(K399="","",VLOOKUP(K399,Lists!$K$2:$O$61,5,FALSE)),"")</f>
        <v/>
      </c>
      <c r="M399" s="18" t="str">
        <f>IFERROR(IF(K399="","",VLOOKUP(K399,Lists!$K$2:$O$61,2,FALSE)),"")</f>
        <v/>
      </c>
      <c r="N399" s="18" t="str">
        <f>IFERROR(IF(K399="","",VLOOKUP(K399,Lists!$K$2:$O$61,3,FALSE)),"")</f>
        <v/>
      </c>
      <c r="O399" s="19"/>
      <c r="P399" s="31"/>
      <c r="Q399" s="32"/>
      <c r="R399" s="27"/>
    </row>
    <row r="400" ht="13.5" customHeight="1">
      <c r="A400" s="14"/>
      <c r="B400" s="18" t="str">
        <f>IF(A400="","",IFERROR(LOOKUP(A400,Lists!$U$2:$U$14,Lists!$T$2:$T$14),""))</f>
        <v/>
      </c>
      <c r="C400" s="19"/>
      <c r="D400" s="19"/>
      <c r="E400" s="18" t="str">
        <f t="shared" si="1"/>
        <v/>
      </c>
      <c r="F400" s="19"/>
      <c r="G400" s="23"/>
      <c r="H400" s="19"/>
      <c r="I400" s="19"/>
      <c r="J400" s="19"/>
      <c r="K400" s="19"/>
      <c r="L400" s="30" t="str">
        <f>IFERROR(IF(K400="","",VLOOKUP(K400,Lists!$K$2:$O$61,5,FALSE)),"")</f>
        <v/>
      </c>
      <c r="M400" s="18" t="str">
        <f>IFERROR(IF(K400="","",VLOOKUP(K400,Lists!$K$2:$O$61,2,FALSE)),"")</f>
        <v/>
      </c>
      <c r="N400" s="18" t="str">
        <f>IFERROR(IF(K400="","",VLOOKUP(K400,Lists!$K$2:$O$61,3,FALSE)),"")</f>
        <v/>
      </c>
      <c r="O400" s="19"/>
      <c r="P400" s="31"/>
      <c r="Q400" s="32"/>
      <c r="R400" s="27"/>
    </row>
    <row r="401" ht="13.5" customHeight="1">
      <c r="A401" s="14"/>
      <c r="B401" s="18" t="str">
        <f>IF(A401="","",IFERROR(LOOKUP(A401,Lists!$U$2:$U$14,Lists!$T$2:$T$14),""))</f>
        <v/>
      </c>
      <c r="C401" s="19"/>
      <c r="D401" s="19"/>
      <c r="E401" s="18" t="str">
        <f t="shared" si="1"/>
        <v/>
      </c>
      <c r="F401" s="19"/>
      <c r="G401" s="23"/>
      <c r="H401" s="19"/>
      <c r="I401" s="19"/>
      <c r="J401" s="19"/>
      <c r="K401" s="19"/>
      <c r="L401" s="30" t="str">
        <f>IFERROR(IF(K401="","",VLOOKUP(K401,Lists!$K$2:$O$61,5,FALSE)),"")</f>
        <v/>
      </c>
      <c r="M401" s="18" t="str">
        <f>IFERROR(IF(K401="","",VLOOKUP(K401,Lists!$K$2:$O$61,2,FALSE)),"")</f>
        <v/>
      </c>
      <c r="N401" s="18" t="str">
        <f>IFERROR(IF(K401="","",VLOOKUP(K401,Lists!$K$2:$O$61,3,FALSE)),"")</f>
        <v/>
      </c>
      <c r="O401" s="19"/>
      <c r="P401" s="31"/>
      <c r="Q401" s="32"/>
      <c r="R401" s="27"/>
    </row>
    <row r="402" ht="13.5" customHeight="1">
      <c r="A402" s="14"/>
      <c r="B402" s="18" t="str">
        <f>IF(A402="","",IFERROR(LOOKUP(A402,Lists!$U$2:$U$14,Lists!$T$2:$T$14),""))</f>
        <v/>
      </c>
      <c r="C402" s="19"/>
      <c r="D402" s="19"/>
      <c r="E402" s="18" t="str">
        <f t="shared" si="1"/>
        <v/>
      </c>
      <c r="F402" s="19"/>
      <c r="G402" s="23"/>
      <c r="H402" s="19"/>
      <c r="I402" s="19"/>
      <c r="J402" s="19"/>
      <c r="K402" s="19"/>
      <c r="L402" s="30" t="str">
        <f>IFERROR(IF(K402="","",VLOOKUP(K402,Lists!$K$2:$O$61,5,FALSE)),"")</f>
        <v/>
      </c>
      <c r="M402" s="18" t="str">
        <f>IFERROR(IF(K402="","",VLOOKUP(K402,Lists!$K$2:$O$61,2,FALSE)),"")</f>
        <v/>
      </c>
      <c r="N402" s="18" t="str">
        <f>IFERROR(IF(K402="","",VLOOKUP(K402,Lists!$K$2:$O$61,3,FALSE)),"")</f>
        <v/>
      </c>
      <c r="O402" s="19"/>
      <c r="P402" s="31"/>
      <c r="Q402" s="32"/>
      <c r="R402" s="27"/>
    </row>
    <row r="403" ht="13.5" customHeight="1">
      <c r="A403" s="14"/>
      <c r="B403" s="18" t="str">
        <f>IF(A403="","",IFERROR(LOOKUP(A403,Lists!$U$2:$U$14,Lists!$T$2:$T$14),""))</f>
        <v/>
      </c>
      <c r="C403" s="19"/>
      <c r="D403" s="19"/>
      <c r="E403" s="18" t="str">
        <f t="shared" si="1"/>
        <v/>
      </c>
      <c r="F403" s="19"/>
      <c r="G403" s="23"/>
      <c r="H403" s="19"/>
      <c r="I403" s="19"/>
      <c r="J403" s="19"/>
      <c r="K403" s="19"/>
      <c r="L403" s="30" t="str">
        <f>IFERROR(IF(K403="","",VLOOKUP(K403,Lists!$K$2:$O$61,5,FALSE)),"")</f>
        <v/>
      </c>
      <c r="M403" s="18" t="str">
        <f>IFERROR(IF(K403="","",VLOOKUP(K403,Lists!$K$2:$O$61,2,FALSE)),"")</f>
        <v/>
      </c>
      <c r="N403" s="18" t="str">
        <f>IFERROR(IF(K403="","",VLOOKUP(K403,Lists!$K$2:$O$61,3,FALSE)),"")</f>
        <v/>
      </c>
      <c r="O403" s="19"/>
      <c r="P403" s="31"/>
      <c r="Q403" s="32"/>
      <c r="R403" s="27"/>
    </row>
    <row r="404" ht="13.5" customHeight="1">
      <c r="A404" s="14"/>
      <c r="B404" s="18" t="str">
        <f>IF(A404="","",IFERROR(LOOKUP(A404,Lists!$U$2:$U$14,Lists!$T$2:$T$14),""))</f>
        <v/>
      </c>
      <c r="C404" s="19"/>
      <c r="D404" s="19"/>
      <c r="E404" s="18" t="str">
        <f t="shared" si="1"/>
        <v/>
      </c>
      <c r="F404" s="19"/>
      <c r="G404" s="23"/>
      <c r="H404" s="19"/>
      <c r="I404" s="19"/>
      <c r="J404" s="19"/>
      <c r="K404" s="19"/>
      <c r="L404" s="30" t="str">
        <f>IFERROR(IF(K404="","",VLOOKUP(K404,Lists!$K$2:$O$61,5,FALSE)),"")</f>
        <v/>
      </c>
      <c r="M404" s="18" t="str">
        <f>IFERROR(IF(K404="","",VLOOKUP(K404,Lists!$K$2:$O$61,2,FALSE)),"")</f>
        <v/>
      </c>
      <c r="N404" s="18" t="str">
        <f>IFERROR(IF(K404="","",VLOOKUP(K404,Lists!$K$2:$O$61,3,FALSE)),"")</f>
        <v/>
      </c>
      <c r="O404" s="19"/>
      <c r="P404" s="31"/>
      <c r="Q404" s="32"/>
      <c r="R404" s="27"/>
    </row>
    <row r="405" ht="13.5" customHeight="1">
      <c r="A405" s="14"/>
      <c r="B405" s="18" t="str">
        <f>IF(A405="","",IFERROR(LOOKUP(A405,Lists!$U$2:$U$14,Lists!$T$2:$T$14),""))</f>
        <v/>
      </c>
      <c r="C405" s="19"/>
      <c r="D405" s="19"/>
      <c r="E405" s="18" t="str">
        <f t="shared" si="1"/>
        <v/>
      </c>
      <c r="F405" s="19"/>
      <c r="G405" s="23"/>
      <c r="H405" s="19"/>
      <c r="I405" s="19"/>
      <c r="J405" s="19"/>
      <c r="K405" s="19"/>
      <c r="L405" s="30" t="str">
        <f>IFERROR(IF(K405="","",VLOOKUP(K405,Lists!$K$2:$O$61,5,FALSE)),"")</f>
        <v/>
      </c>
      <c r="M405" s="18" t="str">
        <f>IFERROR(IF(K405="","",VLOOKUP(K405,Lists!$K$2:$O$61,2,FALSE)),"")</f>
        <v/>
      </c>
      <c r="N405" s="18" t="str">
        <f>IFERROR(IF(K405="","",VLOOKUP(K405,Lists!$K$2:$O$61,3,FALSE)),"")</f>
        <v/>
      </c>
      <c r="O405" s="19"/>
      <c r="P405" s="31"/>
      <c r="Q405" s="32"/>
      <c r="R405" s="27"/>
    </row>
    <row r="406" ht="13.5" customHeight="1">
      <c r="A406" s="14"/>
      <c r="B406" s="18" t="str">
        <f>IF(A406="","",IFERROR(LOOKUP(A406,Lists!$U$2:$U$14,Lists!$T$2:$T$14),""))</f>
        <v/>
      </c>
      <c r="C406" s="19"/>
      <c r="D406" s="19"/>
      <c r="E406" s="18" t="str">
        <f t="shared" si="1"/>
        <v/>
      </c>
      <c r="F406" s="19"/>
      <c r="G406" s="23"/>
      <c r="H406" s="19"/>
      <c r="I406" s="19"/>
      <c r="J406" s="19"/>
      <c r="K406" s="19"/>
      <c r="L406" s="30" t="str">
        <f>IFERROR(IF(K406="","",VLOOKUP(K406,Lists!$K$2:$O$61,5,FALSE)),"")</f>
        <v/>
      </c>
      <c r="M406" s="18" t="str">
        <f>IFERROR(IF(K406="","",VLOOKUP(K406,Lists!$K$2:$O$61,2,FALSE)),"")</f>
        <v/>
      </c>
      <c r="N406" s="18" t="str">
        <f>IFERROR(IF(K406="","",VLOOKUP(K406,Lists!$K$2:$O$61,3,FALSE)),"")</f>
        <v/>
      </c>
      <c r="O406" s="19"/>
      <c r="P406" s="31"/>
      <c r="Q406" s="32"/>
      <c r="R406" s="27"/>
    </row>
    <row r="407" ht="13.5" customHeight="1">
      <c r="A407" s="14"/>
      <c r="B407" s="18" t="str">
        <f>IF(A407="","",IFERROR(LOOKUP(A407,Lists!$U$2:$U$14,Lists!$T$2:$T$14),""))</f>
        <v/>
      </c>
      <c r="C407" s="19"/>
      <c r="D407" s="19"/>
      <c r="E407" s="18" t="str">
        <f t="shared" si="1"/>
        <v/>
      </c>
      <c r="F407" s="19"/>
      <c r="G407" s="23"/>
      <c r="H407" s="19"/>
      <c r="I407" s="19"/>
      <c r="J407" s="19"/>
      <c r="K407" s="19"/>
      <c r="L407" s="30" t="str">
        <f>IFERROR(IF(K407="","",VLOOKUP(K407,Lists!$K$2:$O$61,5,FALSE)),"")</f>
        <v/>
      </c>
      <c r="M407" s="18" t="str">
        <f>IFERROR(IF(K407="","",VLOOKUP(K407,Lists!$K$2:$O$61,2,FALSE)),"")</f>
        <v/>
      </c>
      <c r="N407" s="18" t="str">
        <f>IFERROR(IF(K407="","",VLOOKUP(K407,Lists!$K$2:$O$61,3,FALSE)),"")</f>
        <v/>
      </c>
      <c r="O407" s="19"/>
      <c r="P407" s="31"/>
      <c r="Q407" s="32"/>
      <c r="R407" s="27"/>
    </row>
    <row r="408" ht="13.5" customHeight="1">
      <c r="A408" s="14"/>
      <c r="B408" s="18" t="str">
        <f>IF(A408="","",IFERROR(LOOKUP(A408,Lists!$U$2:$U$14,Lists!$T$2:$T$14),""))</f>
        <v/>
      </c>
      <c r="C408" s="19"/>
      <c r="D408" s="19"/>
      <c r="E408" s="18" t="str">
        <f t="shared" si="1"/>
        <v/>
      </c>
      <c r="F408" s="19"/>
      <c r="G408" s="23"/>
      <c r="H408" s="19"/>
      <c r="I408" s="19"/>
      <c r="J408" s="19"/>
      <c r="K408" s="19"/>
      <c r="L408" s="30" t="str">
        <f>IFERROR(IF(K408="","",VLOOKUP(K408,Lists!$K$2:$O$61,5,FALSE)),"")</f>
        <v/>
      </c>
      <c r="M408" s="18" t="str">
        <f>IFERROR(IF(K408="","",VLOOKUP(K408,Lists!$K$2:$O$61,2,FALSE)),"")</f>
        <v/>
      </c>
      <c r="N408" s="18" t="str">
        <f>IFERROR(IF(K408="","",VLOOKUP(K408,Lists!$K$2:$O$61,3,FALSE)),"")</f>
        <v/>
      </c>
      <c r="O408" s="19"/>
      <c r="P408" s="31"/>
      <c r="Q408" s="32"/>
      <c r="R408" s="27"/>
    </row>
    <row r="409" ht="13.5" customHeight="1">
      <c r="A409" s="14"/>
      <c r="B409" s="18" t="str">
        <f>IF(A409="","",IFERROR(LOOKUP(A409,Lists!$U$2:$U$14,Lists!$T$2:$T$14),""))</f>
        <v/>
      </c>
      <c r="C409" s="19"/>
      <c r="D409" s="19"/>
      <c r="E409" s="18" t="str">
        <f t="shared" si="1"/>
        <v/>
      </c>
      <c r="F409" s="19"/>
      <c r="G409" s="23"/>
      <c r="H409" s="19"/>
      <c r="I409" s="19"/>
      <c r="J409" s="19"/>
      <c r="K409" s="19"/>
      <c r="L409" s="30" t="str">
        <f>IFERROR(IF(K409="","",VLOOKUP(K409,Lists!$K$2:$O$61,5,FALSE)),"")</f>
        <v/>
      </c>
      <c r="M409" s="18" t="str">
        <f>IFERROR(IF(K409="","",VLOOKUP(K409,Lists!$K$2:$O$61,2,FALSE)),"")</f>
        <v/>
      </c>
      <c r="N409" s="18" t="str">
        <f>IFERROR(IF(K409="","",VLOOKUP(K409,Lists!$K$2:$O$61,3,FALSE)),"")</f>
        <v/>
      </c>
      <c r="O409" s="19"/>
      <c r="P409" s="31"/>
      <c r="Q409" s="32"/>
      <c r="R409" s="27"/>
    </row>
    <row r="410" ht="13.5" customHeight="1">
      <c r="A410" s="14"/>
      <c r="B410" s="18" t="str">
        <f>IF(A410="","",IFERROR(LOOKUP(A410,Lists!$U$2:$U$14,Lists!$T$2:$T$14),""))</f>
        <v/>
      </c>
      <c r="C410" s="19"/>
      <c r="D410" s="19"/>
      <c r="E410" s="18" t="str">
        <f t="shared" si="1"/>
        <v/>
      </c>
      <c r="F410" s="19"/>
      <c r="G410" s="23"/>
      <c r="H410" s="19"/>
      <c r="I410" s="19"/>
      <c r="J410" s="19"/>
      <c r="K410" s="19"/>
      <c r="L410" s="30" t="str">
        <f>IFERROR(IF(K410="","",VLOOKUP(K410,Lists!$K$2:$O$61,5,FALSE)),"")</f>
        <v/>
      </c>
      <c r="M410" s="18" t="str">
        <f>IFERROR(IF(K410="","",VLOOKUP(K410,Lists!$K$2:$O$61,2,FALSE)),"")</f>
        <v/>
      </c>
      <c r="N410" s="18" t="str">
        <f>IFERROR(IF(K410="","",VLOOKUP(K410,Lists!$K$2:$O$61,3,FALSE)),"")</f>
        <v/>
      </c>
      <c r="O410" s="19"/>
      <c r="P410" s="31"/>
      <c r="Q410" s="32"/>
      <c r="R410" s="27"/>
    </row>
    <row r="411" ht="13.5" customHeight="1">
      <c r="A411" s="14"/>
      <c r="B411" s="18" t="str">
        <f>IF(A411="","",IFERROR(LOOKUP(A411,Lists!$U$2:$U$14,Lists!$T$2:$T$14),""))</f>
        <v/>
      </c>
      <c r="C411" s="19"/>
      <c r="D411" s="19"/>
      <c r="E411" s="18" t="str">
        <f t="shared" si="1"/>
        <v/>
      </c>
      <c r="F411" s="19"/>
      <c r="G411" s="23"/>
      <c r="H411" s="19"/>
      <c r="I411" s="19"/>
      <c r="J411" s="19"/>
      <c r="K411" s="19"/>
      <c r="L411" s="30" t="str">
        <f>IFERROR(IF(K411="","",VLOOKUP(K411,Lists!$K$2:$O$61,5,FALSE)),"")</f>
        <v/>
      </c>
      <c r="M411" s="18" t="str">
        <f>IFERROR(IF(K411="","",VLOOKUP(K411,Lists!$K$2:$O$61,2,FALSE)),"")</f>
        <v/>
      </c>
      <c r="N411" s="18" t="str">
        <f>IFERROR(IF(K411="","",VLOOKUP(K411,Lists!$K$2:$O$61,3,FALSE)),"")</f>
        <v/>
      </c>
      <c r="O411" s="19"/>
      <c r="P411" s="31"/>
      <c r="Q411" s="32"/>
      <c r="R411" s="27"/>
    </row>
    <row r="412" ht="13.5" customHeight="1">
      <c r="A412" s="14"/>
      <c r="B412" s="18" t="str">
        <f>IF(A412="","",IFERROR(LOOKUP(A412,Lists!$U$2:$U$14,Lists!$T$2:$T$14),""))</f>
        <v/>
      </c>
      <c r="C412" s="19"/>
      <c r="D412" s="19"/>
      <c r="E412" s="18" t="str">
        <f t="shared" si="1"/>
        <v/>
      </c>
      <c r="F412" s="19"/>
      <c r="G412" s="23"/>
      <c r="H412" s="19"/>
      <c r="I412" s="19"/>
      <c r="J412" s="19"/>
      <c r="K412" s="19"/>
      <c r="L412" s="30" t="str">
        <f>IFERROR(IF(K412="","",VLOOKUP(K412,Lists!$K$2:$O$61,5,FALSE)),"")</f>
        <v/>
      </c>
      <c r="M412" s="18" t="str">
        <f>IFERROR(IF(K412="","",VLOOKUP(K412,Lists!$K$2:$O$61,2,FALSE)),"")</f>
        <v/>
      </c>
      <c r="N412" s="18" t="str">
        <f>IFERROR(IF(K412="","",VLOOKUP(K412,Lists!$K$2:$O$61,3,FALSE)),"")</f>
        <v/>
      </c>
      <c r="O412" s="19"/>
      <c r="P412" s="31"/>
      <c r="Q412" s="32"/>
      <c r="R412" s="27"/>
    </row>
    <row r="413" ht="13.5" customHeight="1">
      <c r="A413" s="14"/>
      <c r="B413" s="18" t="str">
        <f>IF(A413="","",IFERROR(LOOKUP(A413,Lists!$U$2:$U$14,Lists!$T$2:$T$14),""))</f>
        <v/>
      </c>
      <c r="C413" s="19"/>
      <c r="D413" s="19"/>
      <c r="E413" s="18" t="str">
        <f t="shared" si="1"/>
        <v/>
      </c>
      <c r="F413" s="19"/>
      <c r="G413" s="23"/>
      <c r="H413" s="19"/>
      <c r="I413" s="19"/>
      <c r="J413" s="19"/>
      <c r="K413" s="19"/>
      <c r="L413" s="30" t="str">
        <f>IFERROR(IF(K413="","",VLOOKUP(K413,Lists!$K$2:$O$61,5,FALSE)),"")</f>
        <v/>
      </c>
      <c r="M413" s="18" t="str">
        <f>IFERROR(IF(K413="","",VLOOKUP(K413,Lists!$K$2:$O$61,2,FALSE)),"")</f>
        <v/>
      </c>
      <c r="N413" s="18" t="str">
        <f>IFERROR(IF(K413="","",VLOOKUP(K413,Lists!$K$2:$O$61,3,FALSE)),"")</f>
        <v/>
      </c>
      <c r="O413" s="19"/>
      <c r="P413" s="31"/>
      <c r="Q413" s="32"/>
      <c r="R413" s="27"/>
    </row>
    <row r="414" ht="13.5" customHeight="1">
      <c r="A414" s="14"/>
      <c r="B414" s="18" t="str">
        <f>IF(A414="","",IFERROR(LOOKUP(A414,Lists!$U$2:$U$14,Lists!$T$2:$T$14),""))</f>
        <v/>
      </c>
      <c r="C414" s="19"/>
      <c r="D414" s="19"/>
      <c r="E414" s="18" t="str">
        <f t="shared" si="1"/>
        <v/>
      </c>
      <c r="F414" s="19"/>
      <c r="G414" s="23"/>
      <c r="H414" s="19"/>
      <c r="I414" s="19"/>
      <c r="J414" s="19"/>
      <c r="K414" s="19"/>
      <c r="L414" s="30" t="str">
        <f>IFERROR(IF(K414="","",VLOOKUP(K414,Lists!$K$2:$O$61,5,FALSE)),"")</f>
        <v/>
      </c>
      <c r="M414" s="18" t="str">
        <f>IFERROR(IF(K414="","",VLOOKUP(K414,Lists!$K$2:$O$61,2,FALSE)),"")</f>
        <v/>
      </c>
      <c r="N414" s="18" t="str">
        <f>IFERROR(IF(K414="","",VLOOKUP(K414,Lists!$K$2:$O$61,3,FALSE)),"")</f>
        <v/>
      </c>
      <c r="O414" s="19"/>
      <c r="P414" s="31"/>
      <c r="Q414" s="32"/>
      <c r="R414" s="27"/>
    </row>
    <row r="415" ht="13.5" customHeight="1">
      <c r="A415" s="14"/>
      <c r="B415" s="18" t="str">
        <f>IF(A415="","",IFERROR(LOOKUP(A415,Lists!$U$2:$U$14,Lists!$T$2:$T$14),""))</f>
        <v/>
      </c>
      <c r="C415" s="19"/>
      <c r="D415" s="19"/>
      <c r="E415" s="18" t="str">
        <f t="shared" si="1"/>
        <v/>
      </c>
      <c r="F415" s="19"/>
      <c r="G415" s="23"/>
      <c r="H415" s="19"/>
      <c r="I415" s="19"/>
      <c r="J415" s="19"/>
      <c r="K415" s="19"/>
      <c r="L415" s="30" t="str">
        <f>IFERROR(IF(K415="","",VLOOKUP(K415,Lists!$K$2:$O$61,5,FALSE)),"")</f>
        <v/>
      </c>
      <c r="M415" s="18" t="str">
        <f>IFERROR(IF(K415="","",VLOOKUP(K415,Lists!$K$2:$O$61,2,FALSE)),"")</f>
        <v/>
      </c>
      <c r="N415" s="18" t="str">
        <f>IFERROR(IF(K415="","",VLOOKUP(K415,Lists!$K$2:$O$61,3,FALSE)),"")</f>
        <v/>
      </c>
      <c r="O415" s="19"/>
      <c r="P415" s="31"/>
      <c r="Q415" s="32"/>
      <c r="R415" s="27"/>
    </row>
    <row r="416" ht="13.5" customHeight="1">
      <c r="A416" s="14"/>
      <c r="B416" s="18" t="str">
        <f>IF(A416="","",IFERROR(LOOKUP(A416,Lists!$U$2:$U$14,Lists!$T$2:$T$14),""))</f>
        <v/>
      </c>
      <c r="C416" s="19"/>
      <c r="D416" s="19"/>
      <c r="E416" s="18" t="str">
        <f t="shared" si="1"/>
        <v/>
      </c>
      <c r="F416" s="19"/>
      <c r="G416" s="23"/>
      <c r="H416" s="19"/>
      <c r="I416" s="19"/>
      <c r="J416" s="19"/>
      <c r="K416" s="19"/>
      <c r="L416" s="30" t="str">
        <f>IFERROR(IF(K416="","",VLOOKUP(K416,Lists!$K$2:$O$61,5,FALSE)),"")</f>
        <v/>
      </c>
      <c r="M416" s="18" t="str">
        <f>IFERROR(IF(K416="","",VLOOKUP(K416,Lists!$K$2:$O$61,2,FALSE)),"")</f>
        <v/>
      </c>
      <c r="N416" s="18" t="str">
        <f>IFERROR(IF(K416="","",VLOOKUP(K416,Lists!$K$2:$O$61,3,FALSE)),"")</f>
        <v/>
      </c>
      <c r="O416" s="19"/>
      <c r="P416" s="31"/>
      <c r="Q416" s="32"/>
      <c r="R416" s="27"/>
    </row>
    <row r="417" ht="13.5" customHeight="1">
      <c r="A417" s="14"/>
      <c r="B417" s="18" t="str">
        <f>IF(A417="","",IFERROR(LOOKUP(A417,Lists!$U$2:$U$14,Lists!$T$2:$T$14),""))</f>
        <v/>
      </c>
      <c r="C417" s="19"/>
      <c r="D417" s="19"/>
      <c r="E417" s="18" t="str">
        <f t="shared" si="1"/>
        <v/>
      </c>
      <c r="F417" s="19"/>
      <c r="G417" s="23"/>
      <c r="H417" s="19"/>
      <c r="I417" s="19"/>
      <c r="J417" s="19"/>
      <c r="K417" s="19"/>
      <c r="L417" s="30" t="str">
        <f>IFERROR(IF(K417="","",VLOOKUP(K417,Lists!$K$2:$O$61,5,FALSE)),"")</f>
        <v/>
      </c>
      <c r="M417" s="18" t="str">
        <f>IFERROR(IF(K417="","",VLOOKUP(K417,Lists!$K$2:$O$61,2,FALSE)),"")</f>
        <v/>
      </c>
      <c r="N417" s="18" t="str">
        <f>IFERROR(IF(K417="","",VLOOKUP(K417,Lists!$K$2:$O$61,3,FALSE)),"")</f>
        <v/>
      </c>
      <c r="O417" s="19"/>
      <c r="P417" s="31"/>
      <c r="Q417" s="32"/>
      <c r="R417" s="27"/>
    </row>
    <row r="418" ht="13.5" customHeight="1">
      <c r="A418" s="14"/>
      <c r="B418" s="18" t="str">
        <f>IF(A418="","",IFERROR(LOOKUP(A418,Lists!$U$2:$U$14,Lists!$T$2:$T$14),""))</f>
        <v/>
      </c>
      <c r="C418" s="19"/>
      <c r="D418" s="19"/>
      <c r="E418" s="18" t="str">
        <f t="shared" si="1"/>
        <v/>
      </c>
      <c r="F418" s="19"/>
      <c r="G418" s="23"/>
      <c r="H418" s="19"/>
      <c r="I418" s="19"/>
      <c r="J418" s="19"/>
      <c r="K418" s="19"/>
      <c r="L418" s="30" t="str">
        <f>IFERROR(IF(K418="","",VLOOKUP(K418,Lists!$K$2:$O$61,5,FALSE)),"")</f>
        <v/>
      </c>
      <c r="M418" s="18" t="str">
        <f>IFERROR(IF(K418="","",VLOOKUP(K418,Lists!$K$2:$O$61,2,FALSE)),"")</f>
        <v/>
      </c>
      <c r="N418" s="18" t="str">
        <f>IFERROR(IF(K418="","",VLOOKUP(K418,Lists!$K$2:$O$61,3,FALSE)),"")</f>
        <v/>
      </c>
      <c r="O418" s="19"/>
      <c r="P418" s="31"/>
      <c r="Q418" s="32"/>
      <c r="R418" s="27"/>
    </row>
    <row r="419" ht="13.5" customHeight="1">
      <c r="A419" s="14"/>
      <c r="B419" s="18" t="str">
        <f>IF(A419="","",IFERROR(LOOKUP(A419,Lists!$U$2:$U$14,Lists!$T$2:$T$14),""))</f>
        <v/>
      </c>
      <c r="C419" s="19"/>
      <c r="D419" s="19"/>
      <c r="E419" s="18" t="str">
        <f t="shared" si="1"/>
        <v/>
      </c>
      <c r="F419" s="19"/>
      <c r="G419" s="23"/>
      <c r="H419" s="19"/>
      <c r="I419" s="19"/>
      <c r="J419" s="19"/>
      <c r="K419" s="19"/>
      <c r="L419" s="30" t="str">
        <f>IFERROR(IF(K419="","",VLOOKUP(K419,Lists!$K$2:$O$61,5,FALSE)),"")</f>
        <v/>
      </c>
      <c r="M419" s="18" t="str">
        <f>IFERROR(IF(K419="","",VLOOKUP(K419,Lists!$K$2:$O$61,2,FALSE)),"")</f>
        <v/>
      </c>
      <c r="N419" s="18" t="str">
        <f>IFERROR(IF(K419="","",VLOOKUP(K419,Lists!$K$2:$O$61,3,FALSE)),"")</f>
        <v/>
      </c>
      <c r="O419" s="19"/>
      <c r="P419" s="31"/>
      <c r="Q419" s="32"/>
      <c r="R419" s="27"/>
    </row>
    <row r="420" ht="13.5" customHeight="1">
      <c r="A420" s="14"/>
      <c r="B420" s="18" t="str">
        <f>IF(A420="","",IFERROR(LOOKUP(A420,Lists!$U$2:$U$14,Lists!$T$2:$T$14),""))</f>
        <v/>
      </c>
      <c r="C420" s="19"/>
      <c r="D420" s="19"/>
      <c r="E420" s="18" t="str">
        <f t="shared" si="1"/>
        <v/>
      </c>
      <c r="F420" s="19"/>
      <c r="G420" s="23"/>
      <c r="H420" s="19"/>
      <c r="I420" s="19"/>
      <c r="J420" s="19"/>
      <c r="K420" s="19"/>
      <c r="L420" s="30" t="str">
        <f>IFERROR(IF(K420="","",VLOOKUP(K420,Lists!$K$2:$O$61,5,FALSE)),"")</f>
        <v/>
      </c>
      <c r="M420" s="18" t="str">
        <f>IFERROR(IF(K420="","",VLOOKUP(K420,Lists!$K$2:$O$61,2,FALSE)),"")</f>
        <v/>
      </c>
      <c r="N420" s="18" t="str">
        <f>IFERROR(IF(K420="","",VLOOKUP(K420,Lists!$K$2:$O$61,3,FALSE)),"")</f>
        <v/>
      </c>
      <c r="O420" s="19"/>
      <c r="P420" s="31"/>
      <c r="Q420" s="32"/>
      <c r="R420" s="27"/>
    </row>
    <row r="421" ht="13.5" customHeight="1">
      <c r="A421" s="14"/>
      <c r="B421" s="18" t="str">
        <f>IF(A421="","",IFERROR(LOOKUP(A421,Lists!$U$2:$U$14,Lists!$T$2:$T$14),""))</f>
        <v/>
      </c>
      <c r="C421" s="19"/>
      <c r="D421" s="19"/>
      <c r="E421" s="18" t="str">
        <f t="shared" si="1"/>
        <v/>
      </c>
      <c r="F421" s="19"/>
      <c r="G421" s="23"/>
      <c r="H421" s="19"/>
      <c r="I421" s="19"/>
      <c r="J421" s="19"/>
      <c r="K421" s="19"/>
      <c r="L421" s="30" t="str">
        <f>IFERROR(IF(K421="","",VLOOKUP(K421,Lists!$K$2:$O$61,5,FALSE)),"")</f>
        <v/>
      </c>
      <c r="M421" s="18" t="str">
        <f>IFERROR(IF(K421="","",VLOOKUP(K421,Lists!$K$2:$O$61,2,FALSE)),"")</f>
        <v/>
      </c>
      <c r="N421" s="18" t="str">
        <f>IFERROR(IF(K421="","",VLOOKUP(K421,Lists!$K$2:$O$61,3,FALSE)),"")</f>
        <v/>
      </c>
      <c r="O421" s="19"/>
      <c r="P421" s="31"/>
      <c r="Q421" s="32"/>
      <c r="R421" s="27"/>
    </row>
    <row r="422" ht="13.5" customHeight="1">
      <c r="A422" s="14"/>
      <c r="B422" s="18" t="str">
        <f>IF(A422="","",IFERROR(LOOKUP(A422,Lists!$U$2:$U$14,Lists!$T$2:$T$14),""))</f>
        <v/>
      </c>
      <c r="C422" s="19"/>
      <c r="D422" s="19"/>
      <c r="E422" s="18" t="str">
        <f t="shared" si="1"/>
        <v/>
      </c>
      <c r="F422" s="19"/>
      <c r="G422" s="23"/>
      <c r="H422" s="19"/>
      <c r="I422" s="19"/>
      <c r="J422" s="19"/>
      <c r="K422" s="19"/>
      <c r="L422" s="30" t="str">
        <f>IFERROR(IF(K422="","",VLOOKUP(K422,Lists!$K$2:$O$61,5,FALSE)),"")</f>
        <v/>
      </c>
      <c r="M422" s="18" t="str">
        <f>IFERROR(IF(K422="","",VLOOKUP(K422,Lists!$K$2:$O$61,2,FALSE)),"")</f>
        <v/>
      </c>
      <c r="N422" s="18" t="str">
        <f>IFERROR(IF(K422="","",VLOOKUP(K422,Lists!$K$2:$O$61,3,FALSE)),"")</f>
        <v/>
      </c>
      <c r="O422" s="19"/>
      <c r="P422" s="31"/>
      <c r="Q422" s="32"/>
      <c r="R422" s="27"/>
    </row>
    <row r="423" ht="13.5" customHeight="1">
      <c r="A423" s="14"/>
      <c r="B423" s="18" t="str">
        <f>IF(A423="","",IFERROR(LOOKUP(A423,Lists!$U$2:$U$14,Lists!$T$2:$T$14),""))</f>
        <v/>
      </c>
      <c r="C423" s="19"/>
      <c r="D423" s="19"/>
      <c r="E423" s="18" t="str">
        <f t="shared" si="1"/>
        <v/>
      </c>
      <c r="F423" s="19"/>
      <c r="G423" s="23"/>
      <c r="H423" s="19"/>
      <c r="I423" s="19"/>
      <c r="J423" s="19"/>
      <c r="K423" s="19"/>
      <c r="L423" s="30" t="str">
        <f>IFERROR(IF(K423="","",VLOOKUP(K423,Lists!$K$2:$O$61,5,FALSE)),"")</f>
        <v/>
      </c>
      <c r="M423" s="18" t="str">
        <f>IFERROR(IF(K423="","",VLOOKUP(K423,Lists!$K$2:$O$61,2,FALSE)),"")</f>
        <v/>
      </c>
      <c r="N423" s="18" t="str">
        <f>IFERROR(IF(K423="","",VLOOKUP(K423,Lists!$K$2:$O$61,3,FALSE)),"")</f>
        <v/>
      </c>
      <c r="O423" s="19"/>
      <c r="P423" s="31"/>
      <c r="Q423" s="32"/>
      <c r="R423" s="27"/>
    </row>
    <row r="424" ht="13.5" customHeight="1">
      <c r="A424" s="14"/>
      <c r="B424" s="18" t="str">
        <f>IF(A424="","",IFERROR(LOOKUP(A424,Lists!$U$2:$U$14,Lists!$T$2:$T$14),""))</f>
        <v/>
      </c>
      <c r="C424" s="19"/>
      <c r="D424" s="19"/>
      <c r="E424" s="18" t="str">
        <f t="shared" si="1"/>
        <v/>
      </c>
      <c r="F424" s="19"/>
      <c r="G424" s="23"/>
      <c r="H424" s="19"/>
      <c r="I424" s="19"/>
      <c r="J424" s="19"/>
      <c r="K424" s="19"/>
      <c r="L424" s="30" t="str">
        <f>IFERROR(IF(K424="","",VLOOKUP(K424,Lists!$K$2:$O$61,5,FALSE)),"")</f>
        <v/>
      </c>
      <c r="M424" s="18" t="str">
        <f>IFERROR(IF(K424="","",VLOOKUP(K424,Lists!$K$2:$O$61,2,FALSE)),"")</f>
        <v/>
      </c>
      <c r="N424" s="18" t="str">
        <f>IFERROR(IF(K424="","",VLOOKUP(K424,Lists!$K$2:$O$61,3,FALSE)),"")</f>
        <v/>
      </c>
      <c r="O424" s="19"/>
      <c r="P424" s="31"/>
      <c r="Q424" s="32"/>
      <c r="R424" s="27"/>
    </row>
    <row r="425" ht="13.5" customHeight="1">
      <c r="A425" s="14"/>
      <c r="B425" s="18" t="str">
        <f>IF(A425="","",IFERROR(LOOKUP(A425,Lists!$U$2:$U$14,Lists!$T$2:$T$14),""))</f>
        <v/>
      </c>
      <c r="C425" s="19"/>
      <c r="D425" s="19"/>
      <c r="E425" s="18" t="str">
        <f t="shared" si="1"/>
        <v/>
      </c>
      <c r="F425" s="19"/>
      <c r="G425" s="23"/>
      <c r="H425" s="19"/>
      <c r="I425" s="19"/>
      <c r="J425" s="19"/>
      <c r="K425" s="19"/>
      <c r="L425" s="30" t="str">
        <f>IFERROR(IF(K425="","",VLOOKUP(K425,Lists!$K$2:$O$61,5,FALSE)),"")</f>
        <v/>
      </c>
      <c r="M425" s="18" t="str">
        <f>IFERROR(IF(K425="","",VLOOKUP(K425,Lists!$K$2:$O$61,2,FALSE)),"")</f>
        <v/>
      </c>
      <c r="N425" s="18" t="str">
        <f>IFERROR(IF(K425="","",VLOOKUP(K425,Lists!$K$2:$O$61,3,FALSE)),"")</f>
        <v/>
      </c>
      <c r="O425" s="19"/>
      <c r="P425" s="31"/>
      <c r="Q425" s="32"/>
      <c r="R425" s="27"/>
    </row>
    <row r="426" ht="13.5" customHeight="1">
      <c r="A426" s="14"/>
      <c r="B426" s="18" t="str">
        <f>IF(A426="","",IFERROR(LOOKUP(A426,Lists!$U$2:$U$14,Lists!$T$2:$T$14),""))</f>
        <v/>
      </c>
      <c r="C426" s="19"/>
      <c r="D426" s="19"/>
      <c r="E426" s="18" t="str">
        <f t="shared" si="1"/>
        <v/>
      </c>
      <c r="F426" s="19"/>
      <c r="G426" s="23"/>
      <c r="H426" s="19"/>
      <c r="I426" s="19"/>
      <c r="J426" s="19"/>
      <c r="K426" s="19"/>
      <c r="L426" s="30" t="str">
        <f>IFERROR(IF(K426="","",VLOOKUP(K426,Lists!$K$2:$O$61,5,FALSE)),"")</f>
        <v/>
      </c>
      <c r="M426" s="18" t="str">
        <f>IFERROR(IF(K426="","",VLOOKUP(K426,Lists!$K$2:$O$61,2,FALSE)),"")</f>
        <v/>
      </c>
      <c r="N426" s="18" t="str">
        <f>IFERROR(IF(K426="","",VLOOKUP(K426,Lists!$K$2:$O$61,3,FALSE)),"")</f>
        <v/>
      </c>
      <c r="O426" s="19"/>
      <c r="P426" s="31"/>
      <c r="Q426" s="32"/>
      <c r="R426" s="27"/>
    </row>
    <row r="427" ht="13.5" customHeight="1">
      <c r="A427" s="14"/>
      <c r="B427" s="18" t="str">
        <f>IF(A427="","",IFERROR(LOOKUP(A427,Lists!$U$2:$U$14,Lists!$T$2:$T$14),""))</f>
        <v/>
      </c>
      <c r="C427" s="19"/>
      <c r="D427" s="19"/>
      <c r="E427" s="18" t="str">
        <f t="shared" si="1"/>
        <v/>
      </c>
      <c r="F427" s="19"/>
      <c r="G427" s="23"/>
      <c r="H427" s="19"/>
      <c r="I427" s="19"/>
      <c r="J427" s="19"/>
      <c r="K427" s="19"/>
      <c r="L427" s="30" t="str">
        <f>IFERROR(IF(K427="","",VLOOKUP(K427,Lists!$K$2:$O$61,5,FALSE)),"")</f>
        <v/>
      </c>
      <c r="M427" s="18" t="str">
        <f>IFERROR(IF(K427="","",VLOOKUP(K427,Lists!$K$2:$O$61,2,FALSE)),"")</f>
        <v/>
      </c>
      <c r="N427" s="18" t="str">
        <f>IFERROR(IF(K427="","",VLOOKUP(K427,Lists!$K$2:$O$61,3,FALSE)),"")</f>
        <v/>
      </c>
      <c r="O427" s="19"/>
      <c r="P427" s="31"/>
      <c r="Q427" s="32"/>
      <c r="R427" s="27"/>
    </row>
    <row r="428" ht="13.5" customHeight="1">
      <c r="A428" s="14"/>
      <c r="B428" s="18" t="str">
        <f>IF(A428="","",IFERROR(LOOKUP(A428,Lists!$U$2:$U$14,Lists!$T$2:$T$14),""))</f>
        <v/>
      </c>
      <c r="C428" s="19"/>
      <c r="D428" s="19"/>
      <c r="E428" s="18" t="str">
        <f t="shared" si="1"/>
        <v/>
      </c>
      <c r="F428" s="19"/>
      <c r="G428" s="23"/>
      <c r="H428" s="19"/>
      <c r="I428" s="19"/>
      <c r="J428" s="19"/>
      <c r="K428" s="19"/>
      <c r="L428" s="30" t="str">
        <f>IFERROR(IF(K428="","",VLOOKUP(K428,Lists!$K$2:$O$61,5,FALSE)),"")</f>
        <v/>
      </c>
      <c r="M428" s="18" t="str">
        <f>IFERROR(IF(K428="","",VLOOKUP(K428,Lists!$K$2:$O$61,2,FALSE)),"")</f>
        <v/>
      </c>
      <c r="N428" s="18" t="str">
        <f>IFERROR(IF(K428="","",VLOOKUP(K428,Lists!$K$2:$O$61,3,FALSE)),"")</f>
        <v/>
      </c>
      <c r="O428" s="19"/>
      <c r="P428" s="31"/>
      <c r="Q428" s="32"/>
      <c r="R428" s="27"/>
    </row>
    <row r="429" ht="13.5" customHeight="1">
      <c r="A429" s="14"/>
      <c r="B429" s="18" t="str">
        <f>IF(A429="","",IFERROR(LOOKUP(A429,Lists!$U$2:$U$14,Lists!$T$2:$T$14),""))</f>
        <v/>
      </c>
      <c r="C429" s="19"/>
      <c r="D429" s="19"/>
      <c r="E429" s="18" t="str">
        <f t="shared" si="1"/>
        <v/>
      </c>
      <c r="F429" s="19"/>
      <c r="G429" s="23"/>
      <c r="H429" s="19"/>
      <c r="I429" s="19"/>
      <c r="J429" s="19"/>
      <c r="K429" s="19"/>
      <c r="L429" s="30" t="str">
        <f>IFERROR(IF(K429="","",VLOOKUP(K429,Lists!$K$2:$O$61,5,FALSE)),"")</f>
        <v/>
      </c>
      <c r="M429" s="18" t="str">
        <f>IFERROR(IF(K429="","",VLOOKUP(K429,Lists!$K$2:$O$61,2,FALSE)),"")</f>
        <v/>
      </c>
      <c r="N429" s="18" t="str">
        <f>IFERROR(IF(K429="","",VLOOKUP(K429,Lists!$K$2:$O$61,3,FALSE)),"")</f>
        <v/>
      </c>
      <c r="O429" s="19"/>
      <c r="P429" s="31"/>
      <c r="Q429" s="32"/>
      <c r="R429" s="27"/>
    </row>
    <row r="430" ht="13.5" customHeight="1">
      <c r="A430" s="14"/>
      <c r="B430" s="18" t="str">
        <f>IF(A430="","",IFERROR(LOOKUP(A430,Lists!$U$2:$U$14,Lists!$T$2:$T$14),""))</f>
        <v/>
      </c>
      <c r="C430" s="19"/>
      <c r="D430" s="19"/>
      <c r="E430" s="18" t="str">
        <f t="shared" si="1"/>
        <v/>
      </c>
      <c r="F430" s="19"/>
      <c r="G430" s="23"/>
      <c r="H430" s="19"/>
      <c r="I430" s="19"/>
      <c r="J430" s="19"/>
      <c r="K430" s="19"/>
      <c r="L430" s="30" t="str">
        <f>IFERROR(IF(K430="","",VLOOKUP(K430,Lists!$K$2:$O$61,5,FALSE)),"")</f>
        <v/>
      </c>
      <c r="M430" s="18" t="str">
        <f>IFERROR(IF(K430="","",VLOOKUP(K430,Lists!$K$2:$O$61,2,FALSE)),"")</f>
        <v/>
      </c>
      <c r="N430" s="18" t="str">
        <f>IFERROR(IF(K430="","",VLOOKUP(K430,Lists!$K$2:$O$61,3,FALSE)),"")</f>
        <v/>
      </c>
      <c r="O430" s="19"/>
      <c r="P430" s="31"/>
      <c r="Q430" s="32"/>
      <c r="R430" s="27"/>
    </row>
    <row r="431" ht="13.5" customHeight="1">
      <c r="A431" s="14"/>
      <c r="B431" s="18" t="str">
        <f>IF(A431="","",IFERROR(LOOKUP(A431,Lists!$U$2:$U$14,Lists!$T$2:$T$14),""))</f>
        <v/>
      </c>
      <c r="C431" s="19"/>
      <c r="D431" s="19"/>
      <c r="E431" s="18" t="str">
        <f t="shared" si="1"/>
        <v/>
      </c>
      <c r="F431" s="19"/>
      <c r="G431" s="23"/>
      <c r="H431" s="19"/>
      <c r="I431" s="19"/>
      <c r="J431" s="19"/>
      <c r="K431" s="19"/>
      <c r="L431" s="30" t="str">
        <f>IFERROR(IF(K431="","",VLOOKUP(K431,Lists!$K$2:$O$61,5,FALSE)),"")</f>
        <v/>
      </c>
      <c r="M431" s="18" t="str">
        <f>IFERROR(IF(K431="","",VLOOKUP(K431,Lists!$K$2:$O$61,2,FALSE)),"")</f>
        <v/>
      </c>
      <c r="N431" s="18" t="str">
        <f>IFERROR(IF(K431="","",VLOOKUP(K431,Lists!$K$2:$O$61,3,FALSE)),"")</f>
        <v/>
      </c>
      <c r="O431" s="19"/>
      <c r="P431" s="31"/>
      <c r="Q431" s="32"/>
      <c r="R431" s="27"/>
    </row>
    <row r="432" ht="13.5" customHeight="1">
      <c r="A432" s="14"/>
      <c r="B432" s="18" t="str">
        <f>IF(A432="","",IFERROR(LOOKUP(A432,Lists!$U$2:$U$14,Lists!$T$2:$T$14),""))</f>
        <v/>
      </c>
      <c r="C432" s="19"/>
      <c r="D432" s="19"/>
      <c r="E432" s="18" t="str">
        <f t="shared" si="1"/>
        <v/>
      </c>
      <c r="F432" s="19"/>
      <c r="G432" s="23"/>
      <c r="H432" s="19"/>
      <c r="I432" s="19"/>
      <c r="J432" s="19"/>
      <c r="K432" s="19"/>
      <c r="L432" s="30" t="str">
        <f>IFERROR(IF(K432="","",VLOOKUP(K432,Lists!$K$2:$O$61,5,FALSE)),"")</f>
        <v/>
      </c>
      <c r="M432" s="18" t="str">
        <f>IFERROR(IF(K432="","",VLOOKUP(K432,Lists!$K$2:$O$61,2,FALSE)),"")</f>
        <v/>
      </c>
      <c r="N432" s="18" t="str">
        <f>IFERROR(IF(K432="","",VLOOKUP(K432,Lists!$K$2:$O$61,3,FALSE)),"")</f>
        <v/>
      </c>
      <c r="O432" s="19"/>
      <c r="P432" s="31"/>
      <c r="Q432" s="32"/>
      <c r="R432" s="27"/>
    </row>
    <row r="433" ht="13.5" customHeight="1">
      <c r="A433" s="14"/>
      <c r="B433" s="18" t="str">
        <f>IF(A433="","",IFERROR(LOOKUP(A433,Lists!$U$2:$U$14,Lists!$T$2:$T$14),""))</f>
        <v/>
      </c>
      <c r="C433" s="19"/>
      <c r="D433" s="19"/>
      <c r="E433" s="18" t="str">
        <f t="shared" si="1"/>
        <v/>
      </c>
      <c r="F433" s="19"/>
      <c r="G433" s="23"/>
      <c r="H433" s="19"/>
      <c r="I433" s="19"/>
      <c r="J433" s="19"/>
      <c r="K433" s="19"/>
      <c r="L433" s="30" t="str">
        <f>IFERROR(IF(K433="","",VLOOKUP(K433,Lists!$K$2:$O$61,5,FALSE)),"")</f>
        <v/>
      </c>
      <c r="M433" s="18" t="str">
        <f>IFERROR(IF(K433="","",VLOOKUP(K433,Lists!$K$2:$O$61,2,FALSE)),"")</f>
        <v/>
      </c>
      <c r="N433" s="18" t="str">
        <f>IFERROR(IF(K433="","",VLOOKUP(K433,Lists!$K$2:$O$61,3,FALSE)),"")</f>
        <v/>
      </c>
      <c r="O433" s="19"/>
      <c r="P433" s="31"/>
      <c r="Q433" s="32"/>
      <c r="R433" s="27"/>
    </row>
    <row r="434" ht="13.5" customHeight="1">
      <c r="A434" s="14"/>
      <c r="B434" s="18" t="str">
        <f>IF(A434="","",IFERROR(LOOKUP(A434,Lists!$U$2:$U$14,Lists!$T$2:$T$14),""))</f>
        <v/>
      </c>
      <c r="C434" s="19"/>
      <c r="D434" s="19"/>
      <c r="E434" s="18" t="str">
        <f t="shared" si="1"/>
        <v/>
      </c>
      <c r="F434" s="19"/>
      <c r="G434" s="23"/>
      <c r="H434" s="19"/>
      <c r="I434" s="19"/>
      <c r="J434" s="19"/>
      <c r="K434" s="19"/>
      <c r="L434" s="30" t="str">
        <f>IFERROR(IF(K434="","",VLOOKUP(K434,Lists!$K$2:$O$61,5,FALSE)),"")</f>
        <v/>
      </c>
      <c r="M434" s="18" t="str">
        <f>IFERROR(IF(K434="","",VLOOKUP(K434,Lists!$K$2:$O$61,2,FALSE)),"")</f>
        <v/>
      </c>
      <c r="N434" s="18" t="str">
        <f>IFERROR(IF(K434="","",VLOOKUP(K434,Lists!$K$2:$O$61,3,FALSE)),"")</f>
        <v/>
      </c>
      <c r="O434" s="19"/>
      <c r="P434" s="31"/>
      <c r="Q434" s="32"/>
      <c r="R434" s="27"/>
    </row>
    <row r="435" ht="13.5" customHeight="1">
      <c r="A435" s="14"/>
      <c r="B435" s="18" t="str">
        <f>IF(A435="","",IFERROR(LOOKUP(A435,Lists!$U$2:$U$14,Lists!$T$2:$T$14),""))</f>
        <v/>
      </c>
      <c r="C435" s="19"/>
      <c r="D435" s="19"/>
      <c r="E435" s="18" t="str">
        <f t="shared" si="1"/>
        <v/>
      </c>
      <c r="F435" s="19"/>
      <c r="G435" s="23"/>
      <c r="H435" s="19"/>
      <c r="I435" s="19"/>
      <c r="J435" s="19"/>
      <c r="K435" s="19"/>
      <c r="L435" s="30" t="str">
        <f>IFERROR(IF(K435="","",VLOOKUP(K435,Lists!$K$2:$O$61,5,FALSE)),"")</f>
        <v/>
      </c>
      <c r="M435" s="18" t="str">
        <f>IFERROR(IF(K435="","",VLOOKUP(K435,Lists!$K$2:$O$61,2,FALSE)),"")</f>
        <v/>
      </c>
      <c r="N435" s="18" t="str">
        <f>IFERROR(IF(K435="","",VLOOKUP(K435,Lists!$K$2:$O$61,3,FALSE)),"")</f>
        <v/>
      </c>
      <c r="O435" s="19"/>
      <c r="P435" s="31"/>
      <c r="Q435" s="32"/>
      <c r="R435" s="27"/>
    </row>
    <row r="436" ht="13.5" customHeight="1">
      <c r="A436" s="14"/>
      <c r="B436" s="18" t="str">
        <f>IF(A436="","",IFERROR(LOOKUP(A436,Lists!$U$2:$U$14,Lists!$T$2:$T$14),""))</f>
        <v/>
      </c>
      <c r="C436" s="19"/>
      <c r="D436" s="19"/>
      <c r="E436" s="18" t="str">
        <f t="shared" si="1"/>
        <v/>
      </c>
      <c r="F436" s="19"/>
      <c r="G436" s="23"/>
      <c r="H436" s="19"/>
      <c r="I436" s="19"/>
      <c r="J436" s="19"/>
      <c r="K436" s="19"/>
      <c r="L436" s="30" t="str">
        <f>IFERROR(IF(K436="","",VLOOKUP(K436,Lists!$K$2:$O$61,5,FALSE)),"")</f>
        <v/>
      </c>
      <c r="M436" s="18" t="str">
        <f>IFERROR(IF(K436="","",VLOOKUP(K436,Lists!$K$2:$O$61,2,FALSE)),"")</f>
        <v/>
      </c>
      <c r="N436" s="18" t="str">
        <f>IFERROR(IF(K436="","",VLOOKUP(K436,Lists!$K$2:$O$61,3,FALSE)),"")</f>
        <v/>
      </c>
      <c r="O436" s="19"/>
      <c r="P436" s="31"/>
      <c r="Q436" s="32"/>
      <c r="R436" s="27"/>
    </row>
    <row r="437" ht="13.5" customHeight="1">
      <c r="A437" s="14"/>
      <c r="B437" s="18" t="str">
        <f>IF(A437="","",IFERROR(LOOKUP(A437,Lists!$U$2:$U$14,Lists!$T$2:$T$14),""))</f>
        <v/>
      </c>
      <c r="C437" s="19"/>
      <c r="D437" s="19"/>
      <c r="E437" s="18" t="str">
        <f t="shared" si="1"/>
        <v/>
      </c>
      <c r="F437" s="19"/>
      <c r="G437" s="23"/>
      <c r="H437" s="19"/>
      <c r="I437" s="19"/>
      <c r="J437" s="19"/>
      <c r="K437" s="19"/>
      <c r="L437" s="30" t="str">
        <f>IFERROR(IF(K437="","",VLOOKUP(K437,Lists!$K$2:$O$61,5,FALSE)),"")</f>
        <v/>
      </c>
      <c r="M437" s="18" t="str">
        <f>IFERROR(IF(K437="","",VLOOKUP(K437,Lists!$K$2:$O$61,2,FALSE)),"")</f>
        <v/>
      </c>
      <c r="N437" s="18" t="str">
        <f>IFERROR(IF(K437="","",VLOOKUP(K437,Lists!$K$2:$O$61,3,FALSE)),"")</f>
        <v/>
      </c>
      <c r="O437" s="19"/>
      <c r="P437" s="31"/>
      <c r="Q437" s="32"/>
      <c r="R437" s="27"/>
    </row>
    <row r="438" ht="13.5" customHeight="1">
      <c r="A438" s="14"/>
      <c r="B438" s="18" t="str">
        <f>IF(A438="","",IFERROR(LOOKUP(A438,Lists!$U$2:$U$14,Lists!$T$2:$T$14),""))</f>
        <v/>
      </c>
      <c r="C438" s="19"/>
      <c r="D438" s="19"/>
      <c r="E438" s="18" t="str">
        <f t="shared" si="1"/>
        <v/>
      </c>
      <c r="F438" s="19"/>
      <c r="G438" s="23"/>
      <c r="H438" s="19"/>
      <c r="I438" s="19"/>
      <c r="J438" s="19"/>
      <c r="K438" s="19"/>
      <c r="L438" s="30" t="str">
        <f>IFERROR(IF(K438="","",VLOOKUP(K438,Lists!$K$2:$O$61,5,FALSE)),"")</f>
        <v/>
      </c>
      <c r="M438" s="18" t="str">
        <f>IFERROR(IF(K438="","",VLOOKUP(K438,Lists!$K$2:$O$61,2,FALSE)),"")</f>
        <v/>
      </c>
      <c r="N438" s="18" t="str">
        <f>IFERROR(IF(K438="","",VLOOKUP(K438,Lists!$K$2:$O$61,3,FALSE)),"")</f>
        <v/>
      </c>
      <c r="O438" s="19"/>
      <c r="P438" s="31"/>
      <c r="Q438" s="32"/>
      <c r="R438" s="27"/>
    </row>
    <row r="439" ht="13.5" customHeight="1">
      <c r="A439" s="14"/>
      <c r="B439" s="18" t="str">
        <f>IF(A439="","",IFERROR(LOOKUP(A439,Lists!$U$2:$U$14,Lists!$T$2:$T$14),""))</f>
        <v/>
      </c>
      <c r="C439" s="19"/>
      <c r="D439" s="19"/>
      <c r="E439" s="18" t="str">
        <f t="shared" si="1"/>
        <v/>
      </c>
      <c r="F439" s="19"/>
      <c r="G439" s="23"/>
      <c r="H439" s="19"/>
      <c r="I439" s="19"/>
      <c r="J439" s="19"/>
      <c r="K439" s="19"/>
      <c r="L439" s="30" t="str">
        <f>IFERROR(IF(K439="","",VLOOKUP(K439,Lists!$K$2:$O$61,5,FALSE)),"")</f>
        <v/>
      </c>
      <c r="M439" s="18" t="str">
        <f>IFERROR(IF(K439="","",VLOOKUP(K439,Lists!$K$2:$O$61,2,FALSE)),"")</f>
        <v/>
      </c>
      <c r="N439" s="18" t="str">
        <f>IFERROR(IF(K439="","",VLOOKUP(K439,Lists!$K$2:$O$61,3,FALSE)),"")</f>
        <v/>
      </c>
      <c r="O439" s="19"/>
      <c r="P439" s="31"/>
      <c r="Q439" s="32"/>
      <c r="R439" s="27"/>
    </row>
    <row r="440" ht="13.5" customHeight="1">
      <c r="A440" s="14"/>
      <c r="B440" s="18" t="str">
        <f>IF(A440="","",IFERROR(LOOKUP(A440,Lists!$U$2:$U$14,Lists!$T$2:$T$14),""))</f>
        <v/>
      </c>
      <c r="C440" s="19"/>
      <c r="D440" s="19"/>
      <c r="E440" s="18" t="str">
        <f t="shared" si="1"/>
        <v/>
      </c>
      <c r="F440" s="19"/>
      <c r="G440" s="23"/>
      <c r="H440" s="19"/>
      <c r="I440" s="19"/>
      <c r="J440" s="19"/>
      <c r="K440" s="19"/>
      <c r="L440" s="30" t="str">
        <f>IFERROR(IF(K440="","",VLOOKUP(K440,Lists!$K$2:$O$61,5,FALSE)),"")</f>
        <v/>
      </c>
      <c r="M440" s="18" t="str">
        <f>IFERROR(IF(K440="","",VLOOKUP(K440,Lists!$K$2:$O$61,2,FALSE)),"")</f>
        <v/>
      </c>
      <c r="N440" s="18" t="str">
        <f>IFERROR(IF(K440="","",VLOOKUP(K440,Lists!$K$2:$O$61,3,FALSE)),"")</f>
        <v/>
      </c>
      <c r="O440" s="19"/>
      <c r="P440" s="31"/>
      <c r="Q440" s="32"/>
      <c r="R440" s="27"/>
    </row>
    <row r="441" ht="13.5" customHeight="1">
      <c r="A441" s="14"/>
      <c r="B441" s="18" t="str">
        <f>IF(A441="","",IFERROR(LOOKUP(A441,Lists!$U$2:$U$14,Lists!$T$2:$T$14),""))</f>
        <v/>
      </c>
      <c r="C441" s="19"/>
      <c r="D441" s="19"/>
      <c r="E441" s="18" t="str">
        <f t="shared" si="1"/>
        <v/>
      </c>
      <c r="F441" s="19"/>
      <c r="G441" s="23"/>
      <c r="H441" s="19"/>
      <c r="I441" s="19"/>
      <c r="J441" s="19"/>
      <c r="K441" s="19"/>
      <c r="L441" s="30" t="str">
        <f>IFERROR(IF(K441="","",VLOOKUP(K441,Lists!$K$2:$O$61,5,FALSE)),"")</f>
        <v/>
      </c>
      <c r="M441" s="18" t="str">
        <f>IFERROR(IF(K441="","",VLOOKUP(K441,Lists!$K$2:$O$61,2,FALSE)),"")</f>
        <v/>
      </c>
      <c r="N441" s="18" t="str">
        <f>IFERROR(IF(K441="","",VLOOKUP(K441,Lists!$K$2:$O$61,3,FALSE)),"")</f>
        <v/>
      </c>
      <c r="O441" s="19"/>
      <c r="P441" s="31"/>
      <c r="Q441" s="32"/>
      <c r="R441" s="27"/>
    </row>
    <row r="442" ht="13.5" customHeight="1">
      <c r="A442" s="14"/>
      <c r="B442" s="18" t="str">
        <f>IF(A442="","",IFERROR(LOOKUP(A442,Lists!$U$2:$U$14,Lists!$T$2:$T$14),""))</f>
        <v/>
      </c>
      <c r="C442" s="19"/>
      <c r="D442" s="19"/>
      <c r="E442" s="18" t="str">
        <f t="shared" si="1"/>
        <v/>
      </c>
      <c r="F442" s="19"/>
      <c r="G442" s="23"/>
      <c r="H442" s="19"/>
      <c r="I442" s="19"/>
      <c r="J442" s="19"/>
      <c r="K442" s="19"/>
      <c r="L442" s="30" t="str">
        <f>IFERROR(IF(K442="","",VLOOKUP(K442,Lists!$K$2:$O$61,5,FALSE)),"")</f>
        <v/>
      </c>
      <c r="M442" s="18" t="str">
        <f>IFERROR(IF(K442="","",VLOOKUP(K442,Lists!$K$2:$O$61,2,FALSE)),"")</f>
        <v/>
      </c>
      <c r="N442" s="18" t="str">
        <f>IFERROR(IF(K442="","",VLOOKUP(K442,Lists!$K$2:$O$61,3,FALSE)),"")</f>
        <v/>
      </c>
      <c r="O442" s="19"/>
      <c r="P442" s="31"/>
      <c r="Q442" s="32"/>
      <c r="R442" s="27"/>
    </row>
    <row r="443" ht="13.5" customHeight="1">
      <c r="A443" s="14"/>
      <c r="B443" s="18" t="str">
        <f>IF(A443="","",IFERROR(LOOKUP(A443,Lists!$U$2:$U$14,Lists!$T$2:$T$14),""))</f>
        <v/>
      </c>
      <c r="C443" s="19"/>
      <c r="D443" s="19"/>
      <c r="E443" s="18" t="str">
        <f t="shared" si="1"/>
        <v/>
      </c>
      <c r="F443" s="19"/>
      <c r="G443" s="23"/>
      <c r="H443" s="19"/>
      <c r="I443" s="19"/>
      <c r="J443" s="19"/>
      <c r="K443" s="19"/>
      <c r="L443" s="30" t="str">
        <f>IFERROR(IF(K443="","",VLOOKUP(K443,Lists!$K$2:$O$61,5,FALSE)),"")</f>
        <v/>
      </c>
      <c r="M443" s="18" t="str">
        <f>IFERROR(IF(K443="","",VLOOKUP(K443,Lists!$K$2:$O$61,2,FALSE)),"")</f>
        <v/>
      </c>
      <c r="N443" s="18" t="str">
        <f>IFERROR(IF(K443="","",VLOOKUP(K443,Lists!$K$2:$O$61,3,FALSE)),"")</f>
        <v/>
      </c>
      <c r="O443" s="19"/>
      <c r="P443" s="31"/>
      <c r="Q443" s="32"/>
      <c r="R443" s="27"/>
    </row>
    <row r="444" ht="13.5" customHeight="1">
      <c r="A444" s="14"/>
      <c r="B444" s="18" t="str">
        <f>IF(A444="","",IFERROR(LOOKUP(A444,Lists!$U$2:$U$14,Lists!$T$2:$T$14),""))</f>
        <v/>
      </c>
      <c r="C444" s="19"/>
      <c r="D444" s="19"/>
      <c r="E444" s="18" t="str">
        <f t="shared" si="1"/>
        <v/>
      </c>
      <c r="F444" s="19"/>
      <c r="G444" s="23"/>
      <c r="H444" s="19"/>
      <c r="I444" s="19"/>
      <c r="J444" s="19"/>
      <c r="K444" s="19"/>
      <c r="L444" s="30" t="str">
        <f>IFERROR(IF(K444="","",VLOOKUP(K444,Lists!$K$2:$O$61,5,FALSE)),"")</f>
        <v/>
      </c>
      <c r="M444" s="18" t="str">
        <f>IFERROR(IF(K444="","",VLOOKUP(K444,Lists!$K$2:$O$61,2,FALSE)),"")</f>
        <v/>
      </c>
      <c r="N444" s="18" t="str">
        <f>IFERROR(IF(K444="","",VLOOKUP(K444,Lists!$K$2:$O$61,3,FALSE)),"")</f>
        <v/>
      </c>
      <c r="O444" s="19"/>
      <c r="P444" s="31"/>
      <c r="Q444" s="32"/>
      <c r="R444" s="27"/>
    </row>
    <row r="445" ht="13.5" customHeight="1">
      <c r="A445" s="14"/>
      <c r="B445" s="18" t="str">
        <f>IF(A445="","",IFERROR(LOOKUP(A445,Lists!$U$2:$U$14,Lists!$T$2:$T$14),""))</f>
        <v/>
      </c>
      <c r="C445" s="19"/>
      <c r="D445" s="19"/>
      <c r="E445" s="18" t="str">
        <f t="shared" si="1"/>
        <v/>
      </c>
      <c r="F445" s="19"/>
      <c r="G445" s="23"/>
      <c r="H445" s="19"/>
      <c r="I445" s="19"/>
      <c r="J445" s="19"/>
      <c r="K445" s="19"/>
      <c r="L445" s="30" t="str">
        <f>IFERROR(IF(K445="","",VLOOKUP(K445,Lists!$K$2:$O$61,5,FALSE)),"")</f>
        <v/>
      </c>
      <c r="M445" s="18" t="str">
        <f>IFERROR(IF(K445="","",VLOOKUP(K445,Lists!$K$2:$O$61,2,FALSE)),"")</f>
        <v/>
      </c>
      <c r="N445" s="18" t="str">
        <f>IFERROR(IF(K445="","",VLOOKUP(K445,Lists!$K$2:$O$61,3,FALSE)),"")</f>
        <v/>
      </c>
      <c r="O445" s="19"/>
      <c r="P445" s="31"/>
      <c r="Q445" s="32"/>
      <c r="R445" s="27"/>
    </row>
    <row r="446" ht="13.5" customHeight="1">
      <c r="A446" s="14"/>
      <c r="B446" s="18" t="str">
        <f>IF(A446="","",IFERROR(LOOKUP(A446,Lists!$U$2:$U$14,Lists!$T$2:$T$14),""))</f>
        <v/>
      </c>
      <c r="C446" s="19"/>
      <c r="D446" s="19"/>
      <c r="E446" s="18" t="str">
        <f t="shared" si="1"/>
        <v/>
      </c>
      <c r="F446" s="19"/>
      <c r="G446" s="23"/>
      <c r="H446" s="19"/>
      <c r="I446" s="19"/>
      <c r="J446" s="19"/>
      <c r="K446" s="19"/>
      <c r="L446" s="30" t="str">
        <f>IFERROR(IF(K446="","",VLOOKUP(K446,Lists!$K$2:$O$61,5,FALSE)),"")</f>
        <v/>
      </c>
      <c r="M446" s="18" t="str">
        <f>IFERROR(IF(K446="","",VLOOKUP(K446,Lists!$K$2:$O$61,2,FALSE)),"")</f>
        <v/>
      </c>
      <c r="N446" s="18" t="str">
        <f>IFERROR(IF(K446="","",VLOOKUP(K446,Lists!$K$2:$O$61,3,FALSE)),"")</f>
        <v/>
      </c>
      <c r="O446" s="19"/>
      <c r="P446" s="31"/>
      <c r="Q446" s="32"/>
      <c r="R446" s="27"/>
    </row>
    <row r="447" ht="13.5" customHeight="1">
      <c r="A447" s="14"/>
      <c r="B447" s="18" t="str">
        <f>IF(A447="","",IFERROR(LOOKUP(A447,Lists!$U$2:$U$14,Lists!$T$2:$T$14),""))</f>
        <v/>
      </c>
      <c r="C447" s="19"/>
      <c r="D447" s="19"/>
      <c r="E447" s="18" t="str">
        <f t="shared" si="1"/>
        <v/>
      </c>
      <c r="F447" s="19"/>
      <c r="G447" s="23"/>
      <c r="H447" s="19"/>
      <c r="I447" s="19"/>
      <c r="J447" s="19"/>
      <c r="K447" s="19"/>
      <c r="L447" s="30" t="str">
        <f>IFERROR(IF(K447="","",VLOOKUP(K447,Lists!$K$2:$O$61,5,FALSE)),"")</f>
        <v/>
      </c>
      <c r="M447" s="18" t="str">
        <f>IFERROR(IF(K447="","",VLOOKUP(K447,Lists!$K$2:$O$61,2,FALSE)),"")</f>
        <v/>
      </c>
      <c r="N447" s="18" t="str">
        <f>IFERROR(IF(K447="","",VLOOKUP(K447,Lists!$K$2:$O$61,3,FALSE)),"")</f>
        <v/>
      </c>
      <c r="O447" s="19"/>
      <c r="P447" s="31"/>
      <c r="Q447" s="32"/>
      <c r="R447" s="27"/>
    </row>
    <row r="448" ht="13.5" customHeight="1">
      <c r="A448" s="14"/>
      <c r="B448" s="18" t="str">
        <f>IF(A448="","",IFERROR(LOOKUP(A448,Lists!$U$2:$U$14,Lists!$T$2:$T$14),""))</f>
        <v/>
      </c>
      <c r="C448" s="19"/>
      <c r="D448" s="19"/>
      <c r="E448" s="18" t="str">
        <f t="shared" si="1"/>
        <v/>
      </c>
      <c r="F448" s="19"/>
      <c r="G448" s="23"/>
      <c r="H448" s="19"/>
      <c r="I448" s="19"/>
      <c r="J448" s="19"/>
      <c r="K448" s="19"/>
      <c r="L448" s="30" t="str">
        <f>IFERROR(IF(K448="","",VLOOKUP(K448,Lists!$K$2:$O$61,5,FALSE)),"")</f>
        <v/>
      </c>
      <c r="M448" s="18" t="str">
        <f>IFERROR(IF(K448="","",VLOOKUP(K448,Lists!$K$2:$O$61,2,FALSE)),"")</f>
        <v/>
      </c>
      <c r="N448" s="18" t="str">
        <f>IFERROR(IF(K448="","",VLOOKUP(K448,Lists!$K$2:$O$61,3,FALSE)),"")</f>
        <v/>
      </c>
      <c r="O448" s="19"/>
      <c r="P448" s="31"/>
      <c r="Q448" s="32"/>
      <c r="R448" s="27"/>
    </row>
    <row r="449" ht="13.5" customHeight="1">
      <c r="A449" s="14"/>
      <c r="B449" s="18" t="str">
        <f>IF(A449="","",IFERROR(LOOKUP(A449,Lists!$U$2:$U$14,Lists!$T$2:$T$14),""))</f>
        <v/>
      </c>
      <c r="C449" s="19"/>
      <c r="D449" s="19"/>
      <c r="E449" s="18" t="str">
        <f t="shared" si="1"/>
        <v/>
      </c>
      <c r="F449" s="19"/>
      <c r="G449" s="23"/>
      <c r="H449" s="19"/>
      <c r="I449" s="19"/>
      <c r="J449" s="19"/>
      <c r="K449" s="19"/>
      <c r="L449" s="30" t="str">
        <f>IFERROR(IF(K449="","",VLOOKUP(K449,Lists!$K$2:$O$61,5,FALSE)),"")</f>
        <v/>
      </c>
      <c r="M449" s="18" t="str">
        <f>IFERROR(IF(K449="","",VLOOKUP(K449,Lists!$K$2:$O$61,2,FALSE)),"")</f>
        <v/>
      </c>
      <c r="N449" s="18" t="str">
        <f>IFERROR(IF(K449="","",VLOOKUP(K449,Lists!$K$2:$O$61,3,FALSE)),"")</f>
        <v/>
      </c>
      <c r="O449" s="19"/>
      <c r="P449" s="31"/>
      <c r="Q449" s="32"/>
      <c r="R449" s="27"/>
    </row>
    <row r="450" ht="13.5" customHeight="1">
      <c r="A450" s="14"/>
      <c r="B450" s="18" t="str">
        <f>IF(A450="","",IFERROR(LOOKUP(A450,Lists!$U$2:$U$14,Lists!$T$2:$T$14),""))</f>
        <v/>
      </c>
      <c r="C450" s="19"/>
      <c r="D450" s="19"/>
      <c r="E450" s="18" t="str">
        <f t="shared" si="1"/>
        <v/>
      </c>
      <c r="F450" s="19"/>
      <c r="G450" s="23"/>
      <c r="H450" s="19"/>
      <c r="I450" s="19"/>
      <c r="J450" s="19"/>
      <c r="K450" s="19"/>
      <c r="L450" s="30" t="str">
        <f>IFERROR(IF(K450="","",VLOOKUP(K450,Lists!$K$2:$O$61,5,FALSE)),"")</f>
        <v/>
      </c>
      <c r="M450" s="18" t="str">
        <f>IFERROR(IF(K450="","",VLOOKUP(K450,Lists!$K$2:$O$61,2,FALSE)),"")</f>
        <v/>
      </c>
      <c r="N450" s="18" t="str">
        <f>IFERROR(IF(K450="","",VLOOKUP(K450,Lists!$K$2:$O$61,3,FALSE)),"")</f>
        <v/>
      </c>
      <c r="O450" s="19"/>
      <c r="P450" s="31"/>
      <c r="Q450" s="32"/>
      <c r="R450" s="27"/>
    </row>
    <row r="451" ht="13.5" customHeight="1">
      <c r="A451" s="14"/>
      <c r="B451" s="18" t="str">
        <f>IF(A451="","",IFERROR(LOOKUP(A451,Lists!$U$2:$U$14,Lists!$T$2:$T$14),""))</f>
        <v/>
      </c>
      <c r="C451" s="19"/>
      <c r="D451" s="19"/>
      <c r="E451" s="18" t="str">
        <f t="shared" si="1"/>
        <v/>
      </c>
      <c r="F451" s="19"/>
      <c r="G451" s="23"/>
      <c r="H451" s="19"/>
      <c r="I451" s="19"/>
      <c r="J451" s="19"/>
      <c r="K451" s="19"/>
      <c r="L451" s="30" t="str">
        <f>IFERROR(IF(K451="","",VLOOKUP(K451,Lists!$K$2:$O$61,5,FALSE)),"")</f>
        <v/>
      </c>
      <c r="M451" s="18" t="str">
        <f>IFERROR(IF(K451="","",VLOOKUP(K451,Lists!$K$2:$O$61,2,FALSE)),"")</f>
        <v/>
      </c>
      <c r="N451" s="18" t="str">
        <f>IFERROR(IF(K451="","",VLOOKUP(K451,Lists!$K$2:$O$61,3,FALSE)),"")</f>
        <v/>
      </c>
      <c r="O451" s="19"/>
      <c r="P451" s="31"/>
      <c r="Q451" s="32"/>
      <c r="R451" s="27"/>
    </row>
    <row r="452" ht="13.5" customHeight="1">
      <c r="A452" s="14"/>
      <c r="B452" s="18" t="str">
        <f>IF(A452="","",IFERROR(LOOKUP(A452,Lists!$U$2:$U$14,Lists!$T$2:$T$14),""))</f>
        <v/>
      </c>
      <c r="C452" s="19"/>
      <c r="D452" s="19"/>
      <c r="E452" s="18" t="str">
        <f t="shared" si="1"/>
        <v/>
      </c>
      <c r="F452" s="19"/>
      <c r="G452" s="23"/>
      <c r="H452" s="19"/>
      <c r="I452" s="19"/>
      <c r="J452" s="19"/>
      <c r="K452" s="19"/>
      <c r="L452" s="30" t="str">
        <f>IFERROR(IF(K452="","",VLOOKUP(K452,Lists!$K$2:$O$61,5,FALSE)),"")</f>
        <v/>
      </c>
      <c r="M452" s="18" t="str">
        <f>IFERROR(IF(K452="","",VLOOKUP(K452,Lists!$K$2:$O$61,2,FALSE)),"")</f>
        <v/>
      </c>
      <c r="N452" s="18" t="str">
        <f>IFERROR(IF(K452="","",VLOOKUP(K452,Lists!$K$2:$O$61,3,FALSE)),"")</f>
        <v/>
      </c>
      <c r="O452" s="19"/>
      <c r="P452" s="31"/>
      <c r="Q452" s="32"/>
      <c r="R452" s="27"/>
    </row>
    <row r="453" ht="13.5" customHeight="1">
      <c r="A453" s="14"/>
      <c r="B453" s="18" t="str">
        <f>IF(A453="","",IFERROR(LOOKUP(A453,Lists!$U$2:$U$14,Lists!$T$2:$T$14),""))</f>
        <v/>
      </c>
      <c r="C453" s="19"/>
      <c r="D453" s="19"/>
      <c r="E453" s="18" t="str">
        <f t="shared" si="1"/>
        <v/>
      </c>
      <c r="F453" s="19"/>
      <c r="G453" s="23"/>
      <c r="H453" s="19"/>
      <c r="I453" s="19"/>
      <c r="J453" s="19"/>
      <c r="K453" s="19"/>
      <c r="L453" s="30" t="str">
        <f>IFERROR(IF(K453="","",VLOOKUP(K453,Lists!$K$2:$O$61,5,FALSE)),"")</f>
        <v/>
      </c>
      <c r="M453" s="18" t="str">
        <f>IFERROR(IF(K453="","",VLOOKUP(K453,Lists!$K$2:$O$61,2,FALSE)),"")</f>
        <v/>
      </c>
      <c r="N453" s="18" t="str">
        <f>IFERROR(IF(K453="","",VLOOKUP(K453,Lists!$K$2:$O$61,3,FALSE)),"")</f>
        <v/>
      </c>
      <c r="O453" s="19"/>
      <c r="P453" s="31"/>
      <c r="Q453" s="32"/>
      <c r="R453" s="27"/>
    </row>
    <row r="454" ht="13.5" customHeight="1">
      <c r="A454" s="14"/>
      <c r="B454" s="18" t="str">
        <f>IF(A454="","",IFERROR(LOOKUP(A454,Lists!$U$2:$U$14,Lists!$T$2:$T$14),""))</f>
        <v/>
      </c>
      <c r="C454" s="19"/>
      <c r="D454" s="19"/>
      <c r="E454" s="18" t="str">
        <f t="shared" si="1"/>
        <v/>
      </c>
      <c r="F454" s="19"/>
      <c r="G454" s="23"/>
      <c r="H454" s="19"/>
      <c r="I454" s="19"/>
      <c r="J454" s="19"/>
      <c r="K454" s="19"/>
      <c r="L454" s="30" t="str">
        <f>IFERROR(IF(K454="","",VLOOKUP(K454,Lists!$K$2:$O$61,5,FALSE)),"")</f>
        <v/>
      </c>
      <c r="M454" s="18" t="str">
        <f>IFERROR(IF(K454="","",VLOOKUP(K454,Lists!$K$2:$O$61,2,FALSE)),"")</f>
        <v/>
      </c>
      <c r="N454" s="18" t="str">
        <f>IFERROR(IF(K454="","",VLOOKUP(K454,Lists!$K$2:$O$61,3,FALSE)),"")</f>
        <v/>
      </c>
      <c r="O454" s="19"/>
      <c r="P454" s="31"/>
      <c r="Q454" s="32"/>
      <c r="R454" s="27"/>
    </row>
    <row r="455" ht="13.5" customHeight="1">
      <c r="A455" s="14"/>
      <c r="B455" s="18" t="str">
        <f>IF(A455="","",IFERROR(LOOKUP(A455,Lists!$U$2:$U$14,Lists!$T$2:$T$14),""))</f>
        <v/>
      </c>
      <c r="C455" s="19"/>
      <c r="D455" s="19"/>
      <c r="E455" s="18" t="str">
        <f t="shared" si="1"/>
        <v/>
      </c>
      <c r="F455" s="19"/>
      <c r="G455" s="23"/>
      <c r="H455" s="19"/>
      <c r="I455" s="19"/>
      <c r="J455" s="19"/>
      <c r="K455" s="19"/>
      <c r="L455" s="30" t="str">
        <f>IFERROR(IF(K455="","",VLOOKUP(K455,Lists!$K$2:$O$61,5,FALSE)),"")</f>
        <v/>
      </c>
      <c r="M455" s="18" t="str">
        <f>IFERROR(IF(K455="","",VLOOKUP(K455,Lists!$K$2:$O$61,2,FALSE)),"")</f>
        <v/>
      </c>
      <c r="N455" s="18" t="str">
        <f>IFERROR(IF(K455="","",VLOOKUP(K455,Lists!$K$2:$O$61,3,FALSE)),"")</f>
        <v/>
      </c>
      <c r="O455" s="19"/>
      <c r="P455" s="31"/>
      <c r="Q455" s="32"/>
      <c r="R455" s="27"/>
    </row>
    <row r="456" ht="13.5" customHeight="1">
      <c r="A456" s="14"/>
      <c r="B456" s="18" t="str">
        <f>IF(A456="","",IFERROR(LOOKUP(A456,Lists!$U$2:$U$14,Lists!$T$2:$T$14),""))</f>
        <v/>
      </c>
      <c r="C456" s="19"/>
      <c r="D456" s="19"/>
      <c r="E456" s="18" t="str">
        <f t="shared" si="1"/>
        <v/>
      </c>
      <c r="F456" s="19"/>
      <c r="G456" s="23"/>
      <c r="H456" s="19"/>
      <c r="I456" s="19"/>
      <c r="J456" s="19"/>
      <c r="K456" s="19"/>
      <c r="L456" s="30" t="str">
        <f>IFERROR(IF(K456="","",VLOOKUP(K456,Lists!$K$2:$O$61,5,FALSE)),"")</f>
        <v/>
      </c>
      <c r="M456" s="18" t="str">
        <f>IFERROR(IF(K456="","",VLOOKUP(K456,Lists!$K$2:$O$61,2,FALSE)),"")</f>
        <v/>
      </c>
      <c r="N456" s="18" t="str">
        <f>IFERROR(IF(K456="","",VLOOKUP(K456,Lists!$K$2:$O$61,3,FALSE)),"")</f>
        <v/>
      </c>
      <c r="O456" s="19"/>
      <c r="P456" s="31"/>
      <c r="Q456" s="32"/>
      <c r="R456" s="27"/>
    </row>
    <row r="457" ht="13.5" customHeight="1">
      <c r="A457" s="14"/>
      <c r="B457" s="18" t="str">
        <f>IF(A457="","",IFERROR(LOOKUP(A457,Lists!$U$2:$U$14,Lists!$T$2:$T$14),""))</f>
        <v/>
      </c>
      <c r="C457" s="19"/>
      <c r="D457" s="19"/>
      <c r="E457" s="18" t="str">
        <f t="shared" si="1"/>
        <v/>
      </c>
      <c r="F457" s="19"/>
      <c r="G457" s="23"/>
      <c r="H457" s="19"/>
      <c r="I457" s="19"/>
      <c r="J457" s="19"/>
      <c r="K457" s="19"/>
      <c r="L457" s="30" t="str">
        <f>IFERROR(IF(K457="","",VLOOKUP(K457,Lists!$K$2:$O$61,5,FALSE)),"")</f>
        <v/>
      </c>
      <c r="M457" s="18" t="str">
        <f>IFERROR(IF(K457="","",VLOOKUP(K457,Lists!$K$2:$O$61,2,FALSE)),"")</f>
        <v/>
      </c>
      <c r="N457" s="18" t="str">
        <f>IFERROR(IF(K457="","",VLOOKUP(K457,Lists!$K$2:$O$61,3,FALSE)),"")</f>
        <v/>
      </c>
      <c r="O457" s="19"/>
      <c r="P457" s="31"/>
      <c r="Q457" s="32"/>
      <c r="R457" s="27"/>
    </row>
    <row r="458" ht="13.5" customHeight="1">
      <c r="A458" s="14"/>
      <c r="B458" s="18" t="str">
        <f>IF(A458="","",IFERROR(LOOKUP(A458,Lists!$U$2:$U$14,Lists!$T$2:$T$14),""))</f>
        <v/>
      </c>
      <c r="C458" s="19"/>
      <c r="D458" s="19"/>
      <c r="E458" s="18" t="str">
        <f t="shared" si="1"/>
        <v/>
      </c>
      <c r="F458" s="19"/>
      <c r="G458" s="23"/>
      <c r="H458" s="19"/>
      <c r="I458" s="19"/>
      <c r="J458" s="19"/>
      <c r="K458" s="19"/>
      <c r="L458" s="30" t="str">
        <f>IFERROR(IF(K458="","",VLOOKUP(K458,Lists!$K$2:$O$61,5,FALSE)),"")</f>
        <v/>
      </c>
      <c r="M458" s="18" t="str">
        <f>IFERROR(IF(K458="","",VLOOKUP(K458,Lists!$K$2:$O$61,2,FALSE)),"")</f>
        <v/>
      </c>
      <c r="N458" s="18" t="str">
        <f>IFERROR(IF(K458="","",VLOOKUP(K458,Lists!$K$2:$O$61,3,FALSE)),"")</f>
        <v/>
      </c>
      <c r="O458" s="19"/>
      <c r="P458" s="31"/>
      <c r="Q458" s="32"/>
      <c r="R458" s="27"/>
    </row>
    <row r="459" ht="13.5" customHeight="1">
      <c r="A459" s="14"/>
      <c r="B459" s="18" t="str">
        <f>IF(A459="","",IFERROR(LOOKUP(A459,Lists!$U$2:$U$14,Lists!$T$2:$T$14),""))</f>
        <v/>
      </c>
      <c r="C459" s="19"/>
      <c r="D459" s="19"/>
      <c r="E459" s="18" t="str">
        <f t="shared" si="1"/>
        <v/>
      </c>
      <c r="F459" s="19"/>
      <c r="G459" s="23"/>
      <c r="H459" s="19"/>
      <c r="I459" s="19"/>
      <c r="J459" s="19"/>
      <c r="K459" s="19"/>
      <c r="L459" s="30" t="str">
        <f>IFERROR(IF(K459="","",VLOOKUP(K459,Lists!$K$2:$O$61,5,FALSE)),"")</f>
        <v/>
      </c>
      <c r="M459" s="18" t="str">
        <f>IFERROR(IF(K459="","",VLOOKUP(K459,Lists!$K$2:$O$61,2,FALSE)),"")</f>
        <v/>
      </c>
      <c r="N459" s="18" t="str">
        <f>IFERROR(IF(K459="","",VLOOKUP(K459,Lists!$K$2:$O$61,3,FALSE)),"")</f>
        <v/>
      </c>
      <c r="O459" s="19"/>
      <c r="P459" s="31"/>
      <c r="Q459" s="32"/>
      <c r="R459" s="27"/>
    </row>
    <row r="460" ht="13.5" customHeight="1">
      <c r="A460" s="14"/>
      <c r="B460" s="18" t="str">
        <f>IF(A460="","",IFERROR(LOOKUP(A460,Lists!$U$2:$U$14,Lists!$T$2:$T$14),""))</f>
        <v/>
      </c>
      <c r="C460" s="19"/>
      <c r="D460" s="19"/>
      <c r="E460" s="18" t="str">
        <f t="shared" si="1"/>
        <v/>
      </c>
      <c r="F460" s="19"/>
      <c r="G460" s="23"/>
      <c r="H460" s="19"/>
      <c r="I460" s="19"/>
      <c r="J460" s="19"/>
      <c r="K460" s="19"/>
      <c r="L460" s="30" t="str">
        <f>IFERROR(IF(K460="","",VLOOKUP(K460,Lists!$K$2:$O$61,5,FALSE)),"")</f>
        <v/>
      </c>
      <c r="M460" s="18" t="str">
        <f>IFERROR(IF(K460="","",VLOOKUP(K460,Lists!$K$2:$O$61,2,FALSE)),"")</f>
        <v/>
      </c>
      <c r="N460" s="18" t="str">
        <f>IFERROR(IF(K460="","",VLOOKUP(K460,Lists!$K$2:$O$61,3,FALSE)),"")</f>
        <v/>
      </c>
      <c r="O460" s="19"/>
      <c r="P460" s="31"/>
      <c r="Q460" s="32"/>
      <c r="R460" s="27"/>
    </row>
    <row r="461" ht="13.5" customHeight="1">
      <c r="A461" s="14"/>
      <c r="B461" s="18" t="str">
        <f>IF(A461="","",IFERROR(LOOKUP(A461,Lists!$U$2:$U$14,Lists!$T$2:$T$14),""))</f>
        <v/>
      </c>
      <c r="C461" s="19"/>
      <c r="D461" s="19"/>
      <c r="E461" s="18" t="str">
        <f t="shared" si="1"/>
        <v/>
      </c>
      <c r="F461" s="19"/>
      <c r="G461" s="23"/>
      <c r="H461" s="19"/>
      <c r="I461" s="19"/>
      <c r="J461" s="19"/>
      <c r="K461" s="19"/>
      <c r="L461" s="30" t="str">
        <f>IFERROR(IF(K461="","",VLOOKUP(K461,Lists!$K$2:$O$61,5,FALSE)),"")</f>
        <v/>
      </c>
      <c r="M461" s="18" t="str">
        <f>IFERROR(IF(K461="","",VLOOKUP(K461,Lists!$K$2:$O$61,2,FALSE)),"")</f>
        <v/>
      </c>
      <c r="N461" s="18" t="str">
        <f>IFERROR(IF(K461="","",VLOOKUP(K461,Lists!$K$2:$O$61,3,FALSE)),"")</f>
        <v/>
      </c>
      <c r="O461" s="19"/>
      <c r="P461" s="31"/>
      <c r="Q461" s="32"/>
      <c r="R461" s="27"/>
    </row>
    <row r="462" ht="13.5" customHeight="1">
      <c r="A462" s="14"/>
      <c r="B462" s="18" t="str">
        <f>IF(A462="","",IFERROR(LOOKUP(A462,Lists!$U$2:$U$14,Lists!$T$2:$T$14),""))</f>
        <v/>
      </c>
      <c r="C462" s="19"/>
      <c r="D462" s="19"/>
      <c r="E462" s="18" t="str">
        <f t="shared" si="1"/>
        <v/>
      </c>
      <c r="F462" s="19"/>
      <c r="G462" s="23"/>
      <c r="H462" s="19"/>
      <c r="I462" s="19"/>
      <c r="J462" s="19"/>
      <c r="K462" s="19"/>
      <c r="L462" s="30" t="str">
        <f>IFERROR(IF(K462="","",VLOOKUP(K462,Lists!$K$2:$O$61,5,FALSE)),"")</f>
        <v/>
      </c>
      <c r="M462" s="18" t="str">
        <f>IFERROR(IF(K462="","",VLOOKUP(K462,Lists!$K$2:$O$61,2,FALSE)),"")</f>
        <v/>
      </c>
      <c r="N462" s="18" t="str">
        <f>IFERROR(IF(K462="","",VLOOKUP(K462,Lists!$K$2:$O$61,3,FALSE)),"")</f>
        <v/>
      </c>
      <c r="O462" s="19"/>
      <c r="P462" s="31"/>
      <c r="Q462" s="32"/>
      <c r="R462" s="27"/>
    </row>
    <row r="463" ht="13.5" customHeight="1">
      <c r="A463" s="14"/>
      <c r="B463" s="18" t="str">
        <f>IF(A463="","",IFERROR(LOOKUP(A463,Lists!$U$2:$U$14,Lists!$T$2:$T$14),""))</f>
        <v/>
      </c>
      <c r="C463" s="19"/>
      <c r="D463" s="19"/>
      <c r="E463" s="18" t="str">
        <f t="shared" si="1"/>
        <v/>
      </c>
      <c r="F463" s="19"/>
      <c r="G463" s="23"/>
      <c r="H463" s="19"/>
      <c r="I463" s="19"/>
      <c r="J463" s="19"/>
      <c r="K463" s="19"/>
      <c r="L463" s="30" t="str">
        <f>IFERROR(IF(K463="","",VLOOKUP(K463,Lists!$K$2:$O$61,5,FALSE)),"")</f>
        <v/>
      </c>
      <c r="M463" s="18" t="str">
        <f>IFERROR(IF(K463="","",VLOOKUP(K463,Lists!$K$2:$O$61,2,FALSE)),"")</f>
        <v/>
      </c>
      <c r="N463" s="18" t="str">
        <f>IFERROR(IF(K463="","",VLOOKUP(K463,Lists!$K$2:$O$61,3,FALSE)),"")</f>
        <v/>
      </c>
      <c r="O463" s="19"/>
      <c r="P463" s="31"/>
      <c r="Q463" s="32"/>
      <c r="R463" s="27"/>
    </row>
    <row r="464" ht="13.5" customHeight="1">
      <c r="A464" s="14"/>
      <c r="B464" s="18" t="str">
        <f>IF(A464="","",IFERROR(LOOKUP(A464,Lists!$U$2:$U$14,Lists!$T$2:$T$14),""))</f>
        <v/>
      </c>
      <c r="C464" s="19"/>
      <c r="D464" s="19"/>
      <c r="E464" s="18" t="str">
        <f t="shared" si="1"/>
        <v/>
      </c>
      <c r="F464" s="19"/>
      <c r="G464" s="23"/>
      <c r="H464" s="19"/>
      <c r="I464" s="19"/>
      <c r="J464" s="19"/>
      <c r="K464" s="19"/>
      <c r="L464" s="30" t="str">
        <f>IFERROR(IF(K464="","",VLOOKUP(K464,Lists!$K$2:$O$61,5,FALSE)),"")</f>
        <v/>
      </c>
      <c r="M464" s="18" t="str">
        <f>IFERROR(IF(K464="","",VLOOKUP(K464,Lists!$K$2:$O$61,2,FALSE)),"")</f>
        <v/>
      </c>
      <c r="N464" s="18" t="str">
        <f>IFERROR(IF(K464="","",VLOOKUP(K464,Lists!$K$2:$O$61,3,FALSE)),"")</f>
        <v/>
      </c>
      <c r="O464" s="19"/>
      <c r="P464" s="31"/>
      <c r="Q464" s="32"/>
      <c r="R464" s="27"/>
    </row>
    <row r="465" ht="13.5" customHeight="1">
      <c r="A465" s="14"/>
      <c r="B465" s="18" t="str">
        <f>IF(A465="","",IFERROR(LOOKUP(A465,Lists!$U$2:$U$14,Lists!$T$2:$T$14),""))</f>
        <v/>
      </c>
      <c r="C465" s="19"/>
      <c r="D465" s="19"/>
      <c r="E465" s="18" t="str">
        <f t="shared" si="1"/>
        <v/>
      </c>
      <c r="F465" s="19"/>
      <c r="G465" s="23"/>
      <c r="H465" s="19"/>
      <c r="I465" s="19"/>
      <c r="J465" s="19"/>
      <c r="K465" s="19"/>
      <c r="L465" s="30" t="str">
        <f>IFERROR(IF(K465="","",VLOOKUP(K465,Lists!$K$2:$O$61,5,FALSE)),"")</f>
        <v/>
      </c>
      <c r="M465" s="18" t="str">
        <f>IFERROR(IF(K465="","",VLOOKUP(K465,Lists!$K$2:$O$61,2,FALSE)),"")</f>
        <v/>
      </c>
      <c r="N465" s="18" t="str">
        <f>IFERROR(IF(K465="","",VLOOKUP(K465,Lists!$K$2:$O$61,3,FALSE)),"")</f>
        <v/>
      </c>
      <c r="O465" s="19"/>
      <c r="P465" s="31"/>
      <c r="Q465" s="32"/>
      <c r="R465" s="27"/>
    </row>
    <row r="466" ht="13.5" customHeight="1">
      <c r="A466" s="14"/>
      <c r="B466" s="18" t="str">
        <f>IF(A466="","",IFERROR(LOOKUP(A466,Lists!$U$2:$U$14,Lists!$T$2:$T$14),""))</f>
        <v/>
      </c>
      <c r="C466" s="19"/>
      <c r="D466" s="19"/>
      <c r="E466" s="18" t="str">
        <f t="shared" si="1"/>
        <v/>
      </c>
      <c r="F466" s="19"/>
      <c r="G466" s="23"/>
      <c r="H466" s="19"/>
      <c r="I466" s="19"/>
      <c r="J466" s="19"/>
      <c r="K466" s="19"/>
      <c r="L466" s="30" t="str">
        <f>IFERROR(IF(K466="","",VLOOKUP(K466,Lists!$K$2:$O$61,5,FALSE)),"")</f>
        <v/>
      </c>
      <c r="M466" s="18" t="str">
        <f>IFERROR(IF(K466="","",VLOOKUP(K466,Lists!$K$2:$O$61,2,FALSE)),"")</f>
        <v/>
      </c>
      <c r="N466" s="18" t="str">
        <f>IFERROR(IF(K466="","",VLOOKUP(K466,Lists!$K$2:$O$61,3,FALSE)),"")</f>
        <v/>
      </c>
      <c r="O466" s="19"/>
      <c r="P466" s="31"/>
      <c r="Q466" s="32"/>
      <c r="R466" s="27"/>
    </row>
    <row r="467" ht="13.5" customHeight="1">
      <c r="A467" s="14"/>
      <c r="B467" s="18" t="str">
        <f>IF(A467="","",IFERROR(LOOKUP(A467,Lists!$U$2:$U$14,Lists!$T$2:$T$14),""))</f>
        <v/>
      </c>
      <c r="C467" s="19"/>
      <c r="D467" s="19"/>
      <c r="E467" s="18" t="str">
        <f t="shared" si="1"/>
        <v/>
      </c>
      <c r="F467" s="19"/>
      <c r="G467" s="23"/>
      <c r="H467" s="19"/>
      <c r="I467" s="19"/>
      <c r="J467" s="19"/>
      <c r="K467" s="19"/>
      <c r="L467" s="30" t="str">
        <f>IFERROR(IF(K467="","",VLOOKUP(K467,Lists!$K$2:$O$61,5,FALSE)),"")</f>
        <v/>
      </c>
      <c r="M467" s="18" t="str">
        <f>IFERROR(IF(K467="","",VLOOKUP(K467,Lists!$K$2:$O$61,2,FALSE)),"")</f>
        <v/>
      </c>
      <c r="N467" s="18" t="str">
        <f>IFERROR(IF(K467="","",VLOOKUP(K467,Lists!$K$2:$O$61,3,FALSE)),"")</f>
        <v/>
      </c>
      <c r="O467" s="19"/>
      <c r="P467" s="31"/>
      <c r="Q467" s="32"/>
      <c r="R467" s="27"/>
    </row>
    <row r="468" ht="13.5" customHeight="1">
      <c r="A468" s="14"/>
      <c r="B468" s="18" t="str">
        <f>IF(A468="","",IFERROR(LOOKUP(A468,Lists!$U$2:$U$14,Lists!$T$2:$T$14),""))</f>
        <v/>
      </c>
      <c r="C468" s="19"/>
      <c r="D468" s="19"/>
      <c r="E468" s="18" t="str">
        <f t="shared" si="1"/>
        <v/>
      </c>
      <c r="F468" s="19"/>
      <c r="G468" s="23"/>
      <c r="H468" s="19"/>
      <c r="I468" s="19"/>
      <c r="J468" s="19"/>
      <c r="K468" s="19"/>
      <c r="L468" s="30" t="str">
        <f>IFERROR(IF(K468="","",VLOOKUP(K468,Lists!$K$2:$O$61,5,FALSE)),"")</f>
        <v/>
      </c>
      <c r="M468" s="18" t="str">
        <f>IFERROR(IF(K468="","",VLOOKUP(K468,Lists!$K$2:$O$61,2,FALSE)),"")</f>
        <v/>
      </c>
      <c r="N468" s="18" t="str">
        <f>IFERROR(IF(K468="","",VLOOKUP(K468,Lists!$K$2:$O$61,3,FALSE)),"")</f>
        <v/>
      </c>
      <c r="O468" s="19"/>
      <c r="P468" s="31"/>
      <c r="Q468" s="32"/>
      <c r="R468" s="27"/>
    </row>
    <row r="469" ht="13.5" customHeight="1">
      <c r="A469" s="14"/>
      <c r="B469" s="18" t="str">
        <f>IF(A469="","",IFERROR(LOOKUP(A469,Lists!$U$2:$U$14,Lists!$T$2:$T$14),""))</f>
        <v/>
      </c>
      <c r="C469" s="19"/>
      <c r="D469" s="19"/>
      <c r="E469" s="18" t="str">
        <f t="shared" si="1"/>
        <v/>
      </c>
      <c r="F469" s="19"/>
      <c r="G469" s="23"/>
      <c r="H469" s="19"/>
      <c r="I469" s="19"/>
      <c r="J469" s="19"/>
      <c r="K469" s="19"/>
      <c r="L469" s="30" t="str">
        <f>IFERROR(IF(K469="","",VLOOKUP(K469,Lists!$K$2:$O$61,5,FALSE)),"")</f>
        <v/>
      </c>
      <c r="M469" s="18" t="str">
        <f>IFERROR(IF(K469="","",VLOOKUP(K469,Lists!$K$2:$O$61,2,FALSE)),"")</f>
        <v/>
      </c>
      <c r="N469" s="18" t="str">
        <f>IFERROR(IF(K469="","",VLOOKUP(K469,Lists!$K$2:$O$61,3,FALSE)),"")</f>
        <v/>
      </c>
      <c r="O469" s="19"/>
      <c r="P469" s="31"/>
      <c r="Q469" s="32"/>
      <c r="R469" s="27"/>
    </row>
    <row r="470" ht="13.5" customHeight="1">
      <c r="A470" s="14"/>
      <c r="B470" s="18" t="str">
        <f>IF(A470="","",IFERROR(LOOKUP(A470,Lists!$U$2:$U$14,Lists!$T$2:$T$14),""))</f>
        <v/>
      </c>
      <c r="C470" s="19"/>
      <c r="D470" s="19"/>
      <c r="E470" s="18" t="str">
        <f t="shared" si="1"/>
        <v/>
      </c>
      <c r="F470" s="19"/>
      <c r="G470" s="23"/>
      <c r="H470" s="19"/>
      <c r="I470" s="19"/>
      <c r="J470" s="19"/>
      <c r="K470" s="19"/>
      <c r="L470" s="30" t="str">
        <f>IFERROR(IF(K470="","",VLOOKUP(K470,Lists!$K$2:$O$61,5,FALSE)),"")</f>
        <v/>
      </c>
      <c r="M470" s="18" t="str">
        <f>IFERROR(IF(K470="","",VLOOKUP(K470,Lists!$K$2:$O$61,2,FALSE)),"")</f>
        <v/>
      </c>
      <c r="N470" s="18" t="str">
        <f>IFERROR(IF(K470="","",VLOOKUP(K470,Lists!$K$2:$O$61,3,FALSE)),"")</f>
        <v/>
      </c>
      <c r="O470" s="19"/>
      <c r="P470" s="31"/>
      <c r="Q470" s="32"/>
      <c r="R470" s="27"/>
    </row>
    <row r="471" ht="13.5" customHeight="1">
      <c r="A471" s="14"/>
      <c r="B471" s="18" t="str">
        <f>IF(A471="","",IFERROR(LOOKUP(A471,Lists!$U$2:$U$14,Lists!$T$2:$T$14),""))</f>
        <v/>
      </c>
      <c r="C471" s="19"/>
      <c r="D471" s="19"/>
      <c r="E471" s="18" t="str">
        <f t="shared" si="1"/>
        <v/>
      </c>
      <c r="F471" s="19"/>
      <c r="G471" s="23"/>
      <c r="H471" s="19"/>
      <c r="I471" s="19"/>
      <c r="J471" s="19"/>
      <c r="K471" s="19"/>
      <c r="L471" s="30" t="str">
        <f>IFERROR(IF(K471="","",VLOOKUP(K471,Lists!$K$2:$O$61,5,FALSE)),"")</f>
        <v/>
      </c>
      <c r="M471" s="18" t="str">
        <f>IFERROR(IF(K471="","",VLOOKUP(K471,Lists!$K$2:$O$61,2,FALSE)),"")</f>
        <v/>
      </c>
      <c r="N471" s="18" t="str">
        <f>IFERROR(IF(K471="","",VLOOKUP(K471,Lists!$K$2:$O$61,3,FALSE)),"")</f>
        <v/>
      </c>
      <c r="O471" s="19"/>
      <c r="P471" s="31"/>
      <c r="Q471" s="32"/>
      <c r="R471" s="27"/>
    </row>
    <row r="472" ht="13.5" customHeight="1">
      <c r="A472" s="14"/>
      <c r="B472" s="18" t="str">
        <f>IF(A472="","",IFERROR(LOOKUP(A472,Lists!$U$2:$U$14,Lists!$T$2:$T$14),""))</f>
        <v/>
      </c>
      <c r="C472" s="19"/>
      <c r="D472" s="19"/>
      <c r="E472" s="18" t="str">
        <f t="shared" si="1"/>
        <v/>
      </c>
      <c r="F472" s="19"/>
      <c r="G472" s="23"/>
      <c r="H472" s="19"/>
      <c r="I472" s="19"/>
      <c r="J472" s="19"/>
      <c r="K472" s="19"/>
      <c r="L472" s="30" t="str">
        <f>IFERROR(IF(K472="","",VLOOKUP(K472,Lists!$K$2:$O$61,5,FALSE)),"")</f>
        <v/>
      </c>
      <c r="M472" s="18" t="str">
        <f>IFERROR(IF(K472="","",VLOOKUP(K472,Lists!$K$2:$O$61,2,FALSE)),"")</f>
        <v/>
      </c>
      <c r="N472" s="18" t="str">
        <f>IFERROR(IF(K472="","",VLOOKUP(K472,Lists!$K$2:$O$61,3,FALSE)),"")</f>
        <v/>
      </c>
      <c r="O472" s="19"/>
      <c r="P472" s="31"/>
      <c r="Q472" s="32"/>
      <c r="R472" s="27"/>
    </row>
    <row r="473" ht="13.5" customHeight="1">
      <c r="A473" s="14"/>
      <c r="B473" s="18" t="str">
        <f>IF(A473="","",IFERROR(LOOKUP(A473,Lists!$U$2:$U$14,Lists!$T$2:$T$14),""))</f>
        <v/>
      </c>
      <c r="C473" s="19"/>
      <c r="D473" s="19"/>
      <c r="E473" s="18" t="str">
        <f t="shared" si="1"/>
        <v/>
      </c>
      <c r="F473" s="19"/>
      <c r="G473" s="23"/>
      <c r="H473" s="19"/>
      <c r="I473" s="19"/>
      <c r="J473" s="19"/>
      <c r="K473" s="19"/>
      <c r="L473" s="30" t="str">
        <f>IFERROR(IF(K473="","",VLOOKUP(K473,Lists!$K$2:$O$61,5,FALSE)),"")</f>
        <v/>
      </c>
      <c r="M473" s="18" t="str">
        <f>IFERROR(IF(K473="","",VLOOKUP(K473,Lists!$K$2:$O$61,2,FALSE)),"")</f>
        <v/>
      </c>
      <c r="N473" s="18" t="str">
        <f>IFERROR(IF(K473="","",VLOOKUP(K473,Lists!$K$2:$O$61,3,FALSE)),"")</f>
        <v/>
      </c>
      <c r="O473" s="19"/>
      <c r="P473" s="31"/>
      <c r="Q473" s="32"/>
      <c r="R473" s="27"/>
    </row>
    <row r="474" ht="13.5" customHeight="1">
      <c r="A474" s="14"/>
      <c r="B474" s="18" t="str">
        <f>IF(A474="","",IFERROR(LOOKUP(A474,Lists!$U$2:$U$14,Lists!$T$2:$T$14),""))</f>
        <v/>
      </c>
      <c r="C474" s="19"/>
      <c r="D474" s="19"/>
      <c r="E474" s="18" t="str">
        <f t="shared" si="1"/>
        <v/>
      </c>
      <c r="F474" s="19"/>
      <c r="G474" s="23"/>
      <c r="H474" s="19"/>
      <c r="I474" s="19"/>
      <c r="J474" s="19"/>
      <c r="K474" s="19"/>
      <c r="L474" s="30" t="str">
        <f>IFERROR(IF(K474="","",VLOOKUP(K474,Lists!$K$2:$O$61,5,FALSE)),"")</f>
        <v/>
      </c>
      <c r="M474" s="18" t="str">
        <f>IFERROR(IF(K474="","",VLOOKUP(K474,Lists!$K$2:$O$61,2,FALSE)),"")</f>
        <v/>
      </c>
      <c r="N474" s="18" t="str">
        <f>IFERROR(IF(K474="","",VLOOKUP(K474,Lists!$K$2:$O$61,3,FALSE)),"")</f>
        <v/>
      </c>
      <c r="O474" s="19"/>
      <c r="P474" s="31"/>
      <c r="Q474" s="32"/>
      <c r="R474" s="27"/>
    </row>
    <row r="475" ht="13.5" customHeight="1">
      <c r="A475" s="14"/>
      <c r="B475" s="18" t="str">
        <f>IF(A475="","",IFERROR(LOOKUP(A475,Lists!$U$2:$U$14,Lists!$T$2:$T$14),""))</f>
        <v/>
      </c>
      <c r="C475" s="19"/>
      <c r="D475" s="19"/>
      <c r="E475" s="18" t="str">
        <f t="shared" si="1"/>
        <v/>
      </c>
      <c r="F475" s="19"/>
      <c r="G475" s="23"/>
      <c r="H475" s="19"/>
      <c r="I475" s="19"/>
      <c r="J475" s="19"/>
      <c r="K475" s="19"/>
      <c r="L475" s="30" t="str">
        <f>IFERROR(IF(K475="","",VLOOKUP(K475,Lists!$K$2:$O$61,5,FALSE)),"")</f>
        <v/>
      </c>
      <c r="M475" s="18" t="str">
        <f>IFERROR(IF(K475="","",VLOOKUP(K475,Lists!$K$2:$O$61,2,FALSE)),"")</f>
        <v/>
      </c>
      <c r="N475" s="18" t="str">
        <f>IFERROR(IF(K475="","",VLOOKUP(K475,Lists!$K$2:$O$61,3,FALSE)),"")</f>
        <v/>
      </c>
      <c r="O475" s="19"/>
      <c r="P475" s="31"/>
      <c r="Q475" s="32"/>
      <c r="R475" s="27"/>
    </row>
    <row r="476" ht="13.5" customHeight="1">
      <c r="A476" s="14"/>
      <c r="B476" s="18" t="str">
        <f>IF(A476="","",IFERROR(LOOKUP(A476,Lists!$U$2:$U$14,Lists!$T$2:$T$14),""))</f>
        <v/>
      </c>
      <c r="C476" s="19"/>
      <c r="D476" s="19"/>
      <c r="E476" s="18" t="str">
        <f t="shared" si="1"/>
        <v/>
      </c>
      <c r="F476" s="19"/>
      <c r="G476" s="23"/>
      <c r="H476" s="19"/>
      <c r="I476" s="19"/>
      <c r="J476" s="19"/>
      <c r="K476" s="19"/>
      <c r="L476" s="30" t="str">
        <f>IFERROR(IF(K476="","",VLOOKUP(K476,Lists!$K$2:$O$61,5,FALSE)),"")</f>
        <v/>
      </c>
      <c r="M476" s="18" t="str">
        <f>IFERROR(IF(K476="","",VLOOKUP(K476,Lists!$K$2:$O$61,2,FALSE)),"")</f>
        <v/>
      </c>
      <c r="N476" s="18" t="str">
        <f>IFERROR(IF(K476="","",VLOOKUP(K476,Lists!$K$2:$O$61,3,FALSE)),"")</f>
        <v/>
      </c>
      <c r="O476" s="19"/>
      <c r="P476" s="31"/>
      <c r="Q476" s="32"/>
      <c r="R476" s="27"/>
    </row>
    <row r="477" ht="13.5" customHeight="1">
      <c r="A477" s="14"/>
      <c r="B477" s="18" t="str">
        <f>IF(A477="","",IFERROR(LOOKUP(A477,Lists!$U$2:$U$14,Lists!$T$2:$T$14),""))</f>
        <v/>
      </c>
      <c r="C477" s="19"/>
      <c r="D477" s="19"/>
      <c r="E477" s="18" t="str">
        <f t="shared" si="1"/>
        <v/>
      </c>
      <c r="F477" s="19"/>
      <c r="G477" s="23"/>
      <c r="H477" s="19"/>
      <c r="I477" s="19"/>
      <c r="J477" s="19"/>
      <c r="K477" s="19"/>
      <c r="L477" s="30" t="str">
        <f>IFERROR(IF(K477="","",VLOOKUP(K477,Lists!$K$2:$O$61,5,FALSE)),"")</f>
        <v/>
      </c>
      <c r="M477" s="18" t="str">
        <f>IFERROR(IF(K477="","",VLOOKUP(K477,Lists!$K$2:$O$61,2,FALSE)),"")</f>
        <v/>
      </c>
      <c r="N477" s="18" t="str">
        <f>IFERROR(IF(K477="","",VLOOKUP(K477,Lists!$K$2:$O$61,3,FALSE)),"")</f>
        <v/>
      </c>
      <c r="O477" s="19"/>
      <c r="P477" s="31"/>
      <c r="Q477" s="32"/>
      <c r="R477" s="27"/>
    </row>
    <row r="478" ht="13.5" customHeight="1">
      <c r="A478" s="14"/>
      <c r="B478" s="18" t="str">
        <f>IF(A478="","",IFERROR(LOOKUP(A478,Lists!$U$2:$U$14,Lists!$T$2:$T$14),""))</f>
        <v/>
      </c>
      <c r="C478" s="19"/>
      <c r="D478" s="19"/>
      <c r="E478" s="18" t="str">
        <f t="shared" si="1"/>
        <v/>
      </c>
      <c r="F478" s="19"/>
      <c r="G478" s="23"/>
      <c r="H478" s="19"/>
      <c r="I478" s="19"/>
      <c r="J478" s="19"/>
      <c r="K478" s="19"/>
      <c r="L478" s="30" t="str">
        <f>IFERROR(IF(K478="","",VLOOKUP(K478,Lists!$K$2:$O$61,5,FALSE)),"")</f>
        <v/>
      </c>
      <c r="M478" s="18" t="str">
        <f>IFERROR(IF(K478="","",VLOOKUP(K478,Lists!$K$2:$O$61,2,FALSE)),"")</f>
        <v/>
      </c>
      <c r="N478" s="18" t="str">
        <f>IFERROR(IF(K478="","",VLOOKUP(K478,Lists!$K$2:$O$61,3,FALSE)),"")</f>
        <v/>
      </c>
      <c r="O478" s="19"/>
      <c r="P478" s="31"/>
      <c r="Q478" s="32"/>
      <c r="R478" s="27"/>
    </row>
    <row r="479" ht="13.5" customHeight="1">
      <c r="A479" s="14"/>
      <c r="B479" s="18" t="str">
        <f>IF(A479="","",IFERROR(LOOKUP(A479,Lists!$U$2:$U$14,Lists!$T$2:$T$14),""))</f>
        <v/>
      </c>
      <c r="C479" s="19"/>
      <c r="D479" s="19"/>
      <c r="E479" s="18" t="str">
        <f t="shared" si="1"/>
        <v/>
      </c>
      <c r="F479" s="19"/>
      <c r="G479" s="23"/>
      <c r="H479" s="19"/>
      <c r="I479" s="19"/>
      <c r="J479" s="19"/>
      <c r="K479" s="19"/>
      <c r="L479" s="30" t="str">
        <f>IFERROR(IF(K479="","",VLOOKUP(K479,Lists!$K$2:$O$61,5,FALSE)),"")</f>
        <v/>
      </c>
      <c r="M479" s="18" t="str">
        <f>IFERROR(IF(K479="","",VLOOKUP(K479,Lists!$K$2:$O$61,2,FALSE)),"")</f>
        <v/>
      </c>
      <c r="N479" s="18" t="str">
        <f>IFERROR(IF(K479="","",VLOOKUP(K479,Lists!$K$2:$O$61,3,FALSE)),"")</f>
        <v/>
      </c>
      <c r="O479" s="19"/>
      <c r="P479" s="31"/>
      <c r="Q479" s="32"/>
      <c r="R479" s="27"/>
    </row>
    <row r="480" ht="13.5" customHeight="1">
      <c r="A480" s="14"/>
      <c r="B480" s="18" t="str">
        <f>IF(A480="","",IFERROR(LOOKUP(A480,Lists!$U$2:$U$14,Lists!$T$2:$T$14),""))</f>
        <v/>
      </c>
      <c r="C480" s="19"/>
      <c r="D480" s="19"/>
      <c r="E480" s="18" t="str">
        <f t="shared" si="1"/>
        <v/>
      </c>
      <c r="F480" s="19"/>
      <c r="G480" s="23"/>
      <c r="H480" s="19"/>
      <c r="I480" s="19"/>
      <c r="J480" s="19"/>
      <c r="K480" s="19"/>
      <c r="L480" s="30" t="str">
        <f>IFERROR(IF(K480="","",VLOOKUP(K480,Lists!$K$2:$O$61,5,FALSE)),"")</f>
        <v/>
      </c>
      <c r="M480" s="18" t="str">
        <f>IFERROR(IF(K480="","",VLOOKUP(K480,Lists!$K$2:$O$61,2,FALSE)),"")</f>
        <v/>
      </c>
      <c r="N480" s="18" t="str">
        <f>IFERROR(IF(K480="","",VLOOKUP(K480,Lists!$K$2:$O$61,3,FALSE)),"")</f>
        <v/>
      </c>
      <c r="O480" s="19"/>
      <c r="P480" s="31"/>
      <c r="Q480" s="32"/>
      <c r="R480" s="27"/>
    </row>
    <row r="481" ht="13.5" customHeight="1">
      <c r="A481" s="14"/>
      <c r="B481" s="18" t="str">
        <f>IF(A481="","",IFERROR(LOOKUP(A481,Lists!$U$2:$U$14,Lists!$T$2:$T$14),""))</f>
        <v/>
      </c>
      <c r="C481" s="19"/>
      <c r="D481" s="19"/>
      <c r="E481" s="18" t="str">
        <f t="shared" si="1"/>
        <v/>
      </c>
      <c r="F481" s="19"/>
      <c r="G481" s="23"/>
      <c r="H481" s="19"/>
      <c r="I481" s="19"/>
      <c r="J481" s="19"/>
      <c r="K481" s="19"/>
      <c r="L481" s="30" t="str">
        <f>IFERROR(IF(K481="","",VLOOKUP(K481,Lists!$K$2:$O$61,5,FALSE)),"")</f>
        <v/>
      </c>
      <c r="M481" s="18" t="str">
        <f>IFERROR(IF(K481="","",VLOOKUP(K481,Lists!$K$2:$O$61,2,FALSE)),"")</f>
        <v/>
      </c>
      <c r="N481" s="18" t="str">
        <f>IFERROR(IF(K481="","",VLOOKUP(K481,Lists!$K$2:$O$61,3,FALSE)),"")</f>
        <v/>
      </c>
      <c r="O481" s="19"/>
      <c r="P481" s="31"/>
      <c r="Q481" s="32"/>
      <c r="R481" s="27"/>
    </row>
    <row r="482" ht="13.5" customHeight="1">
      <c r="A482" s="14"/>
      <c r="B482" s="18" t="str">
        <f>IF(A482="","",IFERROR(LOOKUP(A482,Lists!$U$2:$U$14,Lists!$T$2:$T$14),""))</f>
        <v/>
      </c>
      <c r="C482" s="19"/>
      <c r="D482" s="19"/>
      <c r="E482" s="18" t="str">
        <f t="shared" si="1"/>
        <v/>
      </c>
      <c r="F482" s="19"/>
      <c r="G482" s="23"/>
      <c r="H482" s="19"/>
      <c r="I482" s="19"/>
      <c r="J482" s="19"/>
      <c r="K482" s="19"/>
      <c r="L482" s="30" t="str">
        <f>IFERROR(IF(K482="","",VLOOKUP(K482,Lists!$K$2:$O$61,5,FALSE)),"")</f>
        <v/>
      </c>
      <c r="M482" s="18" t="str">
        <f>IFERROR(IF(K482="","",VLOOKUP(K482,Lists!$K$2:$O$61,2,FALSE)),"")</f>
        <v/>
      </c>
      <c r="N482" s="18" t="str">
        <f>IFERROR(IF(K482="","",VLOOKUP(K482,Lists!$K$2:$O$61,3,FALSE)),"")</f>
        <v/>
      </c>
      <c r="O482" s="19"/>
      <c r="P482" s="31"/>
      <c r="Q482" s="32"/>
      <c r="R482" s="27"/>
    </row>
    <row r="483" ht="13.5" customHeight="1">
      <c r="A483" s="14"/>
      <c r="B483" s="18" t="str">
        <f>IF(A483="","",IFERROR(LOOKUP(A483,Lists!$U$2:$U$14,Lists!$T$2:$T$14),""))</f>
        <v/>
      </c>
      <c r="C483" s="19"/>
      <c r="D483" s="19"/>
      <c r="E483" s="18" t="str">
        <f t="shared" si="1"/>
        <v/>
      </c>
      <c r="F483" s="19"/>
      <c r="G483" s="23"/>
      <c r="H483" s="19"/>
      <c r="I483" s="19"/>
      <c r="J483" s="19"/>
      <c r="K483" s="19"/>
      <c r="L483" s="30" t="str">
        <f>IFERROR(IF(K483="","",VLOOKUP(K483,Lists!$K$2:$O$61,5,FALSE)),"")</f>
        <v/>
      </c>
      <c r="M483" s="18" t="str">
        <f>IFERROR(IF(K483="","",VLOOKUP(K483,Lists!$K$2:$O$61,2,FALSE)),"")</f>
        <v/>
      </c>
      <c r="N483" s="18" t="str">
        <f>IFERROR(IF(K483="","",VLOOKUP(K483,Lists!$K$2:$O$61,3,FALSE)),"")</f>
        <v/>
      </c>
      <c r="O483" s="19"/>
      <c r="P483" s="31"/>
      <c r="Q483" s="32"/>
      <c r="R483" s="27"/>
    </row>
    <row r="484" ht="13.5" customHeight="1">
      <c r="A484" s="14"/>
      <c r="B484" s="18" t="str">
        <f>IF(A484="","",IFERROR(LOOKUP(A484,Lists!$U$2:$U$14,Lists!$T$2:$T$14),""))</f>
        <v/>
      </c>
      <c r="C484" s="19"/>
      <c r="D484" s="19"/>
      <c r="E484" s="18" t="str">
        <f t="shared" si="1"/>
        <v/>
      </c>
      <c r="F484" s="19"/>
      <c r="G484" s="23"/>
      <c r="H484" s="19"/>
      <c r="I484" s="19"/>
      <c r="J484" s="19"/>
      <c r="K484" s="19"/>
      <c r="L484" s="30" t="str">
        <f>IFERROR(IF(K484="","",VLOOKUP(K484,Lists!$K$2:$O$61,5,FALSE)),"")</f>
        <v/>
      </c>
      <c r="M484" s="18" t="str">
        <f>IFERROR(IF(K484="","",VLOOKUP(K484,Lists!$K$2:$O$61,2,FALSE)),"")</f>
        <v/>
      </c>
      <c r="N484" s="18" t="str">
        <f>IFERROR(IF(K484="","",VLOOKUP(K484,Lists!$K$2:$O$61,3,FALSE)),"")</f>
        <v/>
      </c>
      <c r="O484" s="19"/>
      <c r="P484" s="31"/>
      <c r="Q484" s="32"/>
      <c r="R484" s="27"/>
    </row>
    <row r="485" ht="13.5" customHeight="1">
      <c r="A485" s="14"/>
      <c r="B485" s="18" t="str">
        <f>IF(A485="","",IFERROR(LOOKUP(A485,Lists!$U$2:$U$14,Lists!$T$2:$T$14),""))</f>
        <v/>
      </c>
      <c r="C485" s="19"/>
      <c r="D485" s="19"/>
      <c r="E485" s="18" t="str">
        <f t="shared" si="1"/>
        <v/>
      </c>
      <c r="F485" s="19"/>
      <c r="G485" s="23"/>
      <c r="H485" s="19"/>
      <c r="I485" s="19"/>
      <c r="J485" s="19"/>
      <c r="K485" s="19"/>
      <c r="L485" s="30" t="str">
        <f>IFERROR(IF(K485="","",VLOOKUP(K485,Lists!$K$2:$O$61,5,FALSE)),"")</f>
        <v/>
      </c>
      <c r="M485" s="18" t="str">
        <f>IFERROR(IF(K485="","",VLOOKUP(K485,Lists!$K$2:$O$61,2,FALSE)),"")</f>
        <v/>
      </c>
      <c r="N485" s="18" t="str">
        <f>IFERROR(IF(K485="","",VLOOKUP(K485,Lists!$K$2:$O$61,3,FALSE)),"")</f>
        <v/>
      </c>
      <c r="O485" s="19"/>
      <c r="P485" s="31"/>
      <c r="Q485" s="32"/>
      <c r="R485" s="27"/>
    </row>
    <row r="486" ht="13.5" customHeight="1">
      <c r="A486" s="14"/>
      <c r="B486" s="18" t="str">
        <f>IF(A486="","",IFERROR(LOOKUP(A486,Lists!$U$2:$U$14,Lists!$T$2:$T$14),""))</f>
        <v/>
      </c>
      <c r="C486" s="19"/>
      <c r="D486" s="19"/>
      <c r="E486" s="18" t="str">
        <f t="shared" si="1"/>
        <v/>
      </c>
      <c r="F486" s="19"/>
      <c r="G486" s="23"/>
      <c r="H486" s="19"/>
      <c r="I486" s="19"/>
      <c r="J486" s="19"/>
      <c r="K486" s="19"/>
      <c r="L486" s="30" t="str">
        <f>IFERROR(IF(K486="","",VLOOKUP(K486,Lists!$K$2:$O$61,5,FALSE)),"")</f>
        <v/>
      </c>
      <c r="M486" s="18" t="str">
        <f>IFERROR(IF(K486="","",VLOOKUP(K486,Lists!$K$2:$O$61,2,FALSE)),"")</f>
        <v/>
      </c>
      <c r="N486" s="18" t="str">
        <f>IFERROR(IF(K486="","",VLOOKUP(K486,Lists!$K$2:$O$61,3,FALSE)),"")</f>
        <v/>
      </c>
      <c r="O486" s="19"/>
      <c r="P486" s="31"/>
      <c r="Q486" s="32"/>
      <c r="R486" s="27"/>
    </row>
    <row r="487" ht="13.5" customHeight="1">
      <c r="A487" s="14"/>
      <c r="B487" s="18" t="str">
        <f>IF(A487="","",IFERROR(LOOKUP(A487,Lists!$U$2:$U$14,Lists!$T$2:$T$14),""))</f>
        <v/>
      </c>
      <c r="C487" s="19"/>
      <c r="D487" s="19"/>
      <c r="E487" s="18" t="str">
        <f t="shared" si="1"/>
        <v/>
      </c>
      <c r="F487" s="19"/>
      <c r="G487" s="23"/>
      <c r="H487" s="19"/>
      <c r="I487" s="19"/>
      <c r="J487" s="19"/>
      <c r="K487" s="19"/>
      <c r="L487" s="30" t="str">
        <f>IFERROR(IF(K487="","",VLOOKUP(K487,Lists!$K$2:$O$61,5,FALSE)),"")</f>
        <v/>
      </c>
      <c r="M487" s="18" t="str">
        <f>IFERROR(IF(K487="","",VLOOKUP(K487,Lists!$K$2:$O$61,2,FALSE)),"")</f>
        <v/>
      </c>
      <c r="N487" s="18" t="str">
        <f>IFERROR(IF(K487="","",VLOOKUP(K487,Lists!$K$2:$O$61,3,FALSE)),"")</f>
        <v/>
      </c>
      <c r="O487" s="19"/>
      <c r="P487" s="31"/>
      <c r="Q487" s="32"/>
      <c r="R487" s="27"/>
    </row>
    <row r="488" ht="13.5" customHeight="1">
      <c r="A488" s="14"/>
      <c r="B488" s="18" t="str">
        <f>IF(A488="","",IFERROR(LOOKUP(A488,Lists!$U$2:$U$14,Lists!$T$2:$T$14),""))</f>
        <v/>
      </c>
      <c r="C488" s="19"/>
      <c r="D488" s="19"/>
      <c r="E488" s="18" t="str">
        <f t="shared" si="1"/>
        <v/>
      </c>
      <c r="F488" s="19"/>
      <c r="G488" s="23"/>
      <c r="H488" s="19"/>
      <c r="I488" s="19"/>
      <c r="J488" s="19"/>
      <c r="K488" s="19"/>
      <c r="L488" s="30" t="str">
        <f>IFERROR(IF(K488="","",VLOOKUP(K488,Lists!$K$2:$O$61,5,FALSE)),"")</f>
        <v/>
      </c>
      <c r="M488" s="18" t="str">
        <f>IFERROR(IF(K488="","",VLOOKUP(K488,Lists!$K$2:$O$61,2,FALSE)),"")</f>
        <v/>
      </c>
      <c r="N488" s="18" t="str">
        <f>IFERROR(IF(K488="","",VLOOKUP(K488,Lists!$K$2:$O$61,3,FALSE)),"")</f>
        <v/>
      </c>
      <c r="O488" s="19"/>
      <c r="P488" s="31"/>
      <c r="Q488" s="32"/>
      <c r="R488" s="27"/>
    </row>
    <row r="489" ht="13.5" customHeight="1">
      <c r="A489" s="14"/>
      <c r="B489" s="18" t="str">
        <f>IF(A489="","",IFERROR(LOOKUP(A489,Lists!$U$2:$U$14,Lists!$T$2:$T$14),""))</f>
        <v/>
      </c>
      <c r="C489" s="19"/>
      <c r="D489" s="19"/>
      <c r="E489" s="18" t="str">
        <f t="shared" si="1"/>
        <v/>
      </c>
      <c r="F489" s="19"/>
      <c r="G489" s="23"/>
      <c r="H489" s="19"/>
      <c r="I489" s="19"/>
      <c r="J489" s="19"/>
      <c r="K489" s="19"/>
      <c r="L489" s="30" t="str">
        <f>IFERROR(IF(K489="","",VLOOKUP(K489,Lists!$K$2:$O$61,5,FALSE)),"")</f>
        <v/>
      </c>
      <c r="M489" s="18" t="str">
        <f>IFERROR(IF(K489="","",VLOOKUP(K489,Lists!$K$2:$O$61,2,FALSE)),"")</f>
        <v/>
      </c>
      <c r="N489" s="18" t="str">
        <f>IFERROR(IF(K489="","",VLOOKUP(K489,Lists!$K$2:$O$61,3,FALSE)),"")</f>
        <v/>
      </c>
      <c r="O489" s="19"/>
      <c r="P489" s="31"/>
      <c r="Q489" s="32"/>
      <c r="R489" s="27"/>
    </row>
    <row r="490" ht="13.5" customHeight="1">
      <c r="A490" s="14"/>
      <c r="B490" s="18" t="str">
        <f>IF(A490="","",IFERROR(LOOKUP(A490,Lists!$U$2:$U$14,Lists!$T$2:$T$14),""))</f>
        <v/>
      </c>
      <c r="C490" s="19"/>
      <c r="D490" s="19"/>
      <c r="E490" s="18" t="str">
        <f t="shared" si="1"/>
        <v/>
      </c>
      <c r="F490" s="19"/>
      <c r="G490" s="23"/>
      <c r="H490" s="19"/>
      <c r="I490" s="19"/>
      <c r="J490" s="19"/>
      <c r="K490" s="19"/>
      <c r="L490" s="30" t="str">
        <f>IFERROR(IF(K490="","",VLOOKUP(K490,Lists!$K$2:$O$61,5,FALSE)),"")</f>
        <v/>
      </c>
      <c r="M490" s="18" t="str">
        <f>IFERROR(IF(K490="","",VLOOKUP(K490,Lists!$K$2:$O$61,2,FALSE)),"")</f>
        <v/>
      </c>
      <c r="N490" s="18" t="str">
        <f>IFERROR(IF(K490="","",VLOOKUP(K490,Lists!$K$2:$O$61,3,FALSE)),"")</f>
        <v/>
      </c>
      <c r="O490" s="19"/>
      <c r="P490" s="31"/>
      <c r="Q490" s="32"/>
      <c r="R490" s="27"/>
    </row>
    <row r="491" ht="13.5" customHeight="1">
      <c r="A491" s="14"/>
      <c r="B491" s="18" t="str">
        <f>IF(A491="","",IFERROR(LOOKUP(A491,Lists!$U$2:$U$14,Lists!$T$2:$T$14),""))</f>
        <v/>
      </c>
      <c r="C491" s="19"/>
      <c r="D491" s="19"/>
      <c r="E491" s="18" t="str">
        <f t="shared" si="1"/>
        <v/>
      </c>
      <c r="F491" s="19"/>
      <c r="G491" s="23"/>
      <c r="H491" s="19"/>
      <c r="I491" s="19"/>
      <c r="J491" s="19"/>
      <c r="K491" s="19"/>
      <c r="L491" s="30" t="str">
        <f>IFERROR(IF(K491="","",VLOOKUP(K491,Lists!$K$2:$O$61,5,FALSE)),"")</f>
        <v/>
      </c>
      <c r="M491" s="18" t="str">
        <f>IFERROR(IF(K491="","",VLOOKUP(K491,Lists!$K$2:$O$61,2,FALSE)),"")</f>
        <v/>
      </c>
      <c r="N491" s="18" t="str">
        <f>IFERROR(IF(K491="","",VLOOKUP(K491,Lists!$K$2:$O$61,3,FALSE)),"")</f>
        <v/>
      </c>
      <c r="O491" s="19"/>
      <c r="P491" s="31"/>
      <c r="Q491" s="32"/>
      <c r="R491" s="27"/>
    </row>
    <row r="492" ht="13.5" customHeight="1">
      <c r="A492" s="14"/>
      <c r="B492" s="18" t="str">
        <f>IF(A492="","",IFERROR(LOOKUP(A492,Lists!$U$2:$U$14,Lists!$T$2:$T$14),""))</f>
        <v/>
      </c>
      <c r="C492" s="19"/>
      <c r="D492" s="19"/>
      <c r="E492" s="18" t="str">
        <f t="shared" si="1"/>
        <v/>
      </c>
      <c r="F492" s="19"/>
      <c r="G492" s="23"/>
      <c r="H492" s="19"/>
      <c r="I492" s="19"/>
      <c r="J492" s="19"/>
      <c r="K492" s="19"/>
      <c r="L492" s="30" t="str">
        <f>IFERROR(IF(K492="","",VLOOKUP(K492,Lists!$K$2:$O$61,5,FALSE)),"")</f>
        <v/>
      </c>
      <c r="M492" s="18" t="str">
        <f>IFERROR(IF(K492="","",VLOOKUP(K492,Lists!$K$2:$O$61,2,FALSE)),"")</f>
        <v/>
      </c>
      <c r="N492" s="18" t="str">
        <f>IFERROR(IF(K492="","",VLOOKUP(K492,Lists!$K$2:$O$61,3,FALSE)),"")</f>
        <v/>
      </c>
      <c r="O492" s="19"/>
      <c r="P492" s="31"/>
      <c r="Q492" s="32"/>
      <c r="R492" s="27"/>
    </row>
    <row r="493" ht="13.5" customHeight="1">
      <c r="A493" s="14"/>
      <c r="B493" s="18" t="str">
        <f>IF(A493="","",IFERROR(LOOKUP(A493,Lists!$U$2:$U$14,Lists!$T$2:$T$14),""))</f>
        <v/>
      </c>
      <c r="C493" s="19"/>
      <c r="D493" s="19"/>
      <c r="E493" s="18" t="str">
        <f t="shared" si="1"/>
        <v/>
      </c>
      <c r="F493" s="19"/>
      <c r="G493" s="23"/>
      <c r="H493" s="19"/>
      <c r="I493" s="19"/>
      <c r="J493" s="19"/>
      <c r="K493" s="19"/>
      <c r="L493" s="30" t="str">
        <f>IFERROR(IF(K493="","",VLOOKUP(K493,Lists!$K$2:$O$61,5,FALSE)),"")</f>
        <v/>
      </c>
      <c r="M493" s="18" t="str">
        <f>IFERROR(IF(K493="","",VLOOKUP(K493,Lists!$K$2:$O$61,2,FALSE)),"")</f>
        <v/>
      </c>
      <c r="N493" s="18" t="str">
        <f>IFERROR(IF(K493="","",VLOOKUP(K493,Lists!$K$2:$O$61,3,FALSE)),"")</f>
        <v/>
      </c>
      <c r="O493" s="19"/>
      <c r="P493" s="31"/>
      <c r="Q493" s="32"/>
      <c r="R493" s="27"/>
    </row>
    <row r="494" ht="13.5" customHeight="1">
      <c r="A494" s="14"/>
      <c r="B494" s="18" t="str">
        <f>IF(A494="","",IFERROR(LOOKUP(A494,Lists!$U$2:$U$14,Lists!$T$2:$T$14),""))</f>
        <v/>
      </c>
      <c r="C494" s="19"/>
      <c r="D494" s="19"/>
      <c r="E494" s="18" t="str">
        <f t="shared" si="1"/>
        <v/>
      </c>
      <c r="F494" s="19"/>
      <c r="G494" s="23"/>
      <c r="H494" s="19"/>
      <c r="I494" s="19"/>
      <c r="J494" s="19"/>
      <c r="K494" s="19"/>
      <c r="L494" s="30" t="str">
        <f>IFERROR(IF(K494="","",VLOOKUP(K494,Lists!$K$2:$O$61,5,FALSE)),"")</f>
        <v/>
      </c>
      <c r="M494" s="18" t="str">
        <f>IFERROR(IF(K494="","",VLOOKUP(K494,Lists!$K$2:$O$61,2,FALSE)),"")</f>
        <v/>
      </c>
      <c r="N494" s="18" t="str">
        <f>IFERROR(IF(K494="","",VLOOKUP(K494,Lists!$K$2:$O$61,3,FALSE)),"")</f>
        <v/>
      </c>
      <c r="O494" s="19"/>
      <c r="P494" s="31"/>
      <c r="Q494" s="32"/>
      <c r="R494" s="27"/>
    </row>
    <row r="495" ht="13.5" customHeight="1">
      <c r="A495" s="14"/>
      <c r="B495" s="18" t="str">
        <f>IF(A495="","",IFERROR(LOOKUP(A495,Lists!$U$2:$U$14,Lists!$T$2:$T$14),""))</f>
        <v/>
      </c>
      <c r="C495" s="19"/>
      <c r="D495" s="19"/>
      <c r="E495" s="18" t="str">
        <f t="shared" si="1"/>
        <v/>
      </c>
      <c r="F495" s="19"/>
      <c r="G495" s="23"/>
      <c r="H495" s="19"/>
      <c r="I495" s="19"/>
      <c r="J495" s="19"/>
      <c r="K495" s="19"/>
      <c r="L495" s="30" t="str">
        <f>IFERROR(IF(K495="","",VLOOKUP(K495,Lists!$K$2:$O$61,5,FALSE)),"")</f>
        <v/>
      </c>
      <c r="M495" s="18" t="str">
        <f>IFERROR(IF(K495="","",VLOOKUP(K495,Lists!$K$2:$O$61,2,FALSE)),"")</f>
        <v/>
      </c>
      <c r="N495" s="18" t="str">
        <f>IFERROR(IF(K495="","",VLOOKUP(K495,Lists!$K$2:$O$61,3,FALSE)),"")</f>
        <v/>
      </c>
      <c r="O495" s="19"/>
      <c r="P495" s="31"/>
      <c r="Q495" s="32"/>
      <c r="R495" s="27"/>
    </row>
    <row r="496" ht="13.5" customHeight="1">
      <c r="A496" s="14"/>
      <c r="B496" s="18" t="str">
        <f>IF(A496="","",IFERROR(LOOKUP(A496,Lists!$U$2:$U$14,Lists!$T$2:$T$14),""))</f>
        <v/>
      </c>
      <c r="C496" s="19"/>
      <c r="D496" s="19"/>
      <c r="E496" s="18" t="str">
        <f t="shared" si="1"/>
        <v/>
      </c>
      <c r="F496" s="19"/>
      <c r="G496" s="23"/>
      <c r="H496" s="19"/>
      <c r="I496" s="19"/>
      <c r="J496" s="19"/>
      <c r="K496" s="19"/>
      <c r="L496" s="30" t="str">
        <f>IFERROR(IF(K496="","",VLOOKUP(K496,Lists!$K$2:$O$61,5,FALSE)),"")</f>
        <v/>
      </c>
      <c r="M496" s="18" t="str">
        <f>IFERROR(IF(K496="","",VLOOKUP(K496,Lists!$K$2:$O$61,2,FALSE)),"")</f>
        <v/>
      </c>
      <c r="N496" s="18" t="str">
        <f>IFERROR(IF(K496="","",VLOOKUP(K496,Lists!$K$2:$O$61,3,FALSE)),"")</f>
        <v/>
      </c>
      <c r="O496" s="19"/>
      <c r="P496" s="31"/>
      <c r="Q496" s="32"/>
      <c r="R496" s="27"/>
    </row>
    <row r="497" ht="13.5" customHeight="1">
      <c r="A497" s="14"/>
      <c r="B497" s="18" t="str">
        <f>IF(A497="","",IFERROR(LOOKUP(A497,Lists!$U$2:$U$14,Lists!$T$2:$T$14),""))</f>
        <v/>
      </c>
      <c r="C497" s="19"/>
      <c r="D497" s="19"/>
      <c r="E497" s="18" t="str">
        <f t="shared" si="1"/>
        <v/>
      </c>
      <c r="F497" s="19"/>
      <c r="G497" s="23"/>
      <c r="H497" s="19"/>
      <c r="I497" s="19"/>
      <c r="J497" s="19"/>
      <c r="K497" s="19"/>
      <c r="L497" s="30" t="str">
        <f>IFERROR(IF(K497="","",VLOOKUP(K497,Lists!$K$2:$O$61,5,FALSE)),"")</f>
        <v/>
      </c>
      <c r="M497" s="18" t="str">
        <f>IFERROR(IF(K497="","",VLOOKUP(K497,Lists!$K$2:$O$61,2,FALSE)),"")</f>
        <v/>
      </c>
      <c r="N497" s="18" t="str">
        <f>IFERROR(IF(K497="","",VLOOKUP(K497,Lists!$K$2:$O$61,3,FALSE)),"")</f>
        <v/>
      </c>
      <c r="O497" s="19"/>
      <c r="P497" s="31"/>
      <c r="Q497" s="32"/>
      <c r="R497" s="27"/>
    </row>
    <row r="498" ht="13.5" customHeight="1">
      <c r="A498" s="14"/>
      <c r="B498" s="18" t="str">
        <f>IF(A498="","",IFERROR(LOOKUP(A498,Lists!$U$2:$U$14,Lists!$T$2:$T$14),""))</f>
        <v/>
      </c>
      <c r="C498" s="19"/>
      <c r="D498" s="19"/>
      <c r="E498" s="18" t="str">
        <f t="shared" si="1"/>
        <v/>
      </c>
      <c r="F498" s="19"/>
      <c r="G498" s="23"/>
      <c r="H498" s="19"/>
      <c r="I498" s="19"/>
      <c r="J498" s="19"/>
      <c r="K498" s="19"/>
      <c r="L498" s="30" t="str">
        <f>IFERROR(IF(K498="","",VLOOKUP(K498,Lists!$K$2:$O$61,5,FALSE)),"")</f>
        <v/>
      </c>
      <c r="M498" s="18" t="str">
        <f>IFERROR(IF(K498="","",VLOOKUP(K498,Lists!$K$2:$O$61,2,FALSE)),"")</f>
        <v/>
      </c>
      <c r="N498" s="18" t="str">
        <f>IFERROR(IF(K498="","",VLOOKUP(K498,Lists!$K$2:$O$61,3,FALSE)),"")</f>
        <v/>
      </c>
      <c r="O498" s="19"/>
      <c r="P498" s="31"/>
      <c r="Q498" s="32"/>
      <c r="R498" s="27"/>
    </row>
    <row r="499" ht="13.5" customHeight="1">
      <c r="A499" s="14"/>
      <c r="B499" s="18" t="str">
        <f>IF(A499="","",IFERROR(LOOKUP(A499,Lists!$U$2:$U$14,Lists!$T$2:$T$14),""))</f>
        <v/>
      </c>
      <c r="C499" s="19"/>
      <c r="D499" s="19"/>
      <c r="E499" s="18" t="str">
        <f t="shared" si="1"/>
        <v/>
      </c>
      <c r="F499" s="19"/>
      <c r="G499" s="23"/>
      <c r="H499" s="19"/>
      <c r="I499" s="19"/>
      <c r="J499" s="19"/>
      <c r="K499" s="19"/>
      <c r="L499" s="30" t="str">
        <f>IFERROR(IF(K499="","",VLOOKUP(K499,Lists!$K$2:$O$61,5,FALSE)),"")</f>
        <v/>
      </c>
      <c r="M499" s="18" t="str">
        <f>IFERROR(IF(K499="","",VLOOKUP(K499,Lists!$K$2:$O$61,2,FALSE)),"")</f>
        <v/>
      </c>
      <c r="N499" s="18" t="str">
        <f>IFERROR(IF(K499="","",VLOOKUP(K499,Lists!$K$2:$O$61,3,FALSE)),"")</f>
        <v/>
      </c>
      <c r="O499" s="19"/>
      <c r="P499" s="31"/>
      <c r="Q499" s="32"/>
      <c r="R499" s="27"/>
    </row>
    <row r="500" ht="13.5" customHeight="1">
      <c r="A500" s="14"/>
      <c r="B500" s="18" t="str">
        <f>IF(A500="","",IFERROR(LOOKUP(A500,Lists!$U$2:$U$14,Lists!$T$2:$T$14),""))</f>
        <v/>
      </c>
      <c r="C500" s="19"/>
      <c r="D500" s="19"/>
      <c r="E500" s="18" t="str">
        <f t="shared" si="1"/>
        <v/>
      </c>
      <c r="F500" s="19"/>
      <c r="G500" s="23"/>
      <c r="H500" s="19"/>
      <c r="I500" s="19"/>
      <c r="J500" s="19"/>
      <c r="K500" s="19"/>
      <c r="L500" s="30" t="str">
        <f>IFERROR(IF(K500="","",VLOOKUP(K500,Lists!$K$2:$O$61,5,FALSE)),"")</f>
        <v/>
      </c>
      <c r="M500" s="18" t="str">
        <f>IFERROR(IF(K500="","",VLOOKUP(K500,Lists!$K$2:$O$61,2,FALSE)),"")</f>
        <v/>
      </c>
      <c r="N500" s="18" t="str">
        <f>IFERROR(IF(K500="","",VLOOKUP(K500,Lists!$K$2:$O$61,3,FALSE)),"")</f>
        <v/>
      </c>
      <c r="O500" s="19"/>
      <c r="P500" s="31"/>
      <c r="Q500" s="32"/>
      <c r="R500" s="27"/>
    </row>
    <row r="501" ht="13.5" customHeight="1">
      <c r="A501" s="14"/>
      <c r="B501" s="18" t="str">
        <f>IF(A501="","",IFERROR(LOOKUP(A501,Lists!$U$2:$U$14,Lists!$T$2:$T$14),""))</f>
        <v/>
      </c>
      <c r="C501" s="19"/>
      <c r="D501" s="19"/>
      <c r="E501" s="18" t="str">
        <f t="shared" si="1"/>
        <v/>
      </c>
      <c r="F501" s="19"/>
      <c r="G501" s="23"/>
      <c r="H501" s="19"/>
      <c r="I501" s="19"/>
      <c r="J501" s="19"/>
      <c r="K501" s="19"/>
      <c r="L501" s="30" t="str">
        <f>IFERROR(IF(K501="","",VLOOKUP(K501,Lists!$K$2:$O$61,5,FALSE)),"")</f>
        <v/>
      </c>
      <c r="M501" s="18" t="str">
        <f>IFERROR(IF(K501="","",VLOOKUP(K501,Lists!$K$2:$O$61,2,FALSE)),"")</f>
        <v/>
      </c>
      <c r="N501" s="18" t="str">
        <f>IFERROR(IF(K501="","",VLOOKUP(K501,Lists!$K$2:$O$61,3,FALSE)),"")</f>
        <v/>
      </c>
      <c r="O501" s="19"/>
      <c r="P501" s="31"/>
      <c r="Q501" s="32"/>
      <c r="R501" s="27"/>
    </row>
    <row r="502" ht="13.5" customHeight="1">
      <c r="A502" s="14"/>
      <c r="B502" s="18" t="str">
        <f>IF(A502="","",IFERROR(LOOKUP(A502,Lists!$U$2:$U$14,Lists!$T$2:$T$14),""))</f>
        <v/>
      </c>
      <c r="C502" s="19"/>
      <c r="D502" s="19"/>
      <c r="E502" s="18" t="str">
        <f t="shared" si="1"/>
        <v/>
      </c>
      <c r="F502" s="19"/>
      <c r="G502" s="23"/>
      <c r="H502" s="19"/>
      <c r="I502" s="19"/>
      <c r="J502" s="19"/>
      <c r="K502" s="19"/>
      <c r="L502" s="30" t="str">
        <f>IFERROR(IF(K502="","",VLOOKUP(K502,Lists!$K$2:$O$61,5,FALSE)),"")</f>
        <v/>
      </c>
      <c r="M502" s="18" t="str">
        <f>IFERROR(IF(K502="","",VLOOKUP(K502,Lists!$K$2:$O$61,2,FALSE)),"")</f>
        <v/>
      </c>
      <c r="N502" s="18" t="str">
        <f>IFERROR(IF(K502="","",VLOOKUP(K502,Lists!$K$2:$O$61,3,FALSE)),"")</f>
        <v/>
      </c>
      <c r="O502" s="19"/>
      <c r="P502" s="31"/>
      <c r="Q502" s="32"/>
      <c r="R502" s="27"/>
    </row>
    <row r="503" ht="13.5" customHeight="1">
      <c r="A503" s="14"/>
      <c r="B503" s="18" t="str">
        <f>IF(A503="","",IFERROR(LOOKUP(A503,Lists!$U$2:$U$14,Lists!$T$2:$T$14),""))</f>
        <v/>
      </c>
      <c r="C503" s="19"/>
      <c r="D503" s="19"/>
      <c r="E503" s="18" t="str">
        <f t="shared" si="1"/>
        <v/>
      </c>
      <c r="F503" s="19"/>
      <c r="G503" s="23"/>
      <c r="H503" s="19"/>
      <c r="I503" s="19"/>
      <c r="J503" s="19"/>
      <c r="K503" s="19"/>
      <c r="L503" s="30" t="str">
        <f>IFERROR(IF(K503="","",VLOOKUP(K503,Lists!$K$2:$O$61,5,FALSE)),"")</f>
        <v/>
      </c>
      <c r="M503" s="18" t="str">
        <f>IFERROR(IF(K503="","",VLOOKUP(K503,Lists!$K$2:$O$61,2,FALSE)),"")</f>
        <v/>
      </c>
      <c r="N503" s="18" t="str">
        <f>IFERROR(IF(K503="","",VLOOKUP(K503,Lists!$K$2:$O$61,3,FALSE)),"")</f>
        <v/>
      </c>
      <c r="O503" s="19"/>
      <c r="P503" s="31"/>
      <c r="Q503" s="32"/>
      <c r="R503" s="27"/>
    </row>
    <row r="504" ht="13.5" customHeight="1">
      <c r="A504" s="14"/>
      <c r="B504" s="18" t="str">
        <f>IF(A504="","",IFERROR(LOOKUP(A504,Lists!$U$2:$U$14,Lists!$T$2:$T$14),""))</f>
        <v/>
      </c>
      <c r="C504" s="19"/>
      <c r="D504" s="19"/>
      <c r="E504" s="18" t="str">
        <f t="shared" si="1"/>
        <v/>
      </c>
      <c r="F504" s="19"/>
      <c r="G504" s="23"/>
      <c r="H504" s="19"/>
      <c r="I504" s="19"/>
      <c r="J504" s="19"/>
      <c r="K504" s="19"/>
      <c r="L504" s="30" t="str">
        <f>IFERROR(IF(K504="","",VLOOKUP(K504,Lists!$K$2:$O$61,5,FALSE)),"")</f>
        <v/>
      </c>
      <c r="M504" s="18" t="str">
        <f>IFERROR(IF(K504="","",VLOOKUP(K504,Lists!$K$2:$O$61,2,FALSE)),"")</f>
        <v/>
      </c>
      <c r="N504" s="18" t="str">
        <f>IFERROR(IF(K504="","",VLOOKUP(K504,Lists!$K$2:$O$61,3,FALSE)),"")</f>
        <v/>
      </c>
      <c r="O504" s="19"/>
      <c r="P504" s="31"/>
      <c r="Q504" s="32"/>
      <c r="R504" s="27"/>
    </row>
    <row r="505" ht="13.5" customHeight="1">
      <c r="A505" s="14"/>
      <c r="B505" s="18" t="str">
        <f>IF(A505="","",IFERROR(LOOKUP(A505,Lists!$U$2:$U$14,Lists!$T$2:$T$14),""))</f>
        <v/>
      </c>
      <c r="C505" s="19"/>
      <c r="D505" s="19"/>
      <c r="E505" s="18" t="str">
        <f t="shared" si="1"/>
        <v/>
      </c>
      <c r="F505" s="19"/>
      <c r="G505" s="23"/>
      <c r="H505" s="19"/>
      <c r="I505" s="19"/>
      <c r="J505" s="19"/>
      <c r="K505" s="19"/>
      <c r="L505" s="30" t="str">
        <f>IFERROR(IF(K505="","",VLOOKUP(K505,Lists!$K$2:$O$61,5,FALSE)),"")</f>
        <v/>
      </c>
      <c r="M505" s="18" t="str">
        <f>IFERROR(IF(K505="","",VLOOKUP(K505,Lists!$K$2:$O$61,2,FALSE)),"")</f>
        <v/>
      </c>
      <c r="N505" s="18" t="str">
        <f>IFERROR(IF(K505="","",VLOOKUP(K505,Lists!$K$2:$O$61,3,FALSE)),"")</f>
        <v/>
      </c>
      <c r="O505" s="19"/>
      <c r="P505" s="31"/>
      <c r="Q505" s="32"/>
      <c r="R505" s="27"/>
    </row>
    <row r="506" ht="13.5" customHeight="1">
      <c r="A506" s="14"/>
      <c r="B506" s="18" t="str">
        <f>IF(A506="","",IFERROR(LOOKUP(A506,Lists!$U$2:$U$14,Lists!$T$2:$T$14),""))</f>
        <v/>
      </c>
      <c r="C506" s="19"/>
      <c r="D506" s="19"/>
      <c r="E506" s="18" t="str">
        <f t="shared" si="1"/>
        <v/>
      </c>
      <c r="F506" s="19"/>
      <c r="G506" s="23"/>
      <c r="H506" s="19"/>
      <c r="I506" s="19"/>
      <c r="J506" s="19"/>
      <c r="K506" s="19"/>
      <c r="L506" s="30" t="str">
        <f>IFERROR(IF(K506="","",VLOOKUP(K506,Lists!$K$2:$O$61,5,FALSE)),"")</f>
        <v/>
      </c>
      <c r="M506" s="18" t="str">
        <f>IFERROR(IF(K506="","",VLOOKUP(K506,Lists!$K$2:$O$61,2,FALSE)),"")</f>
        <v/>
      </c>
      <c r="N506" s="18" t="str">
        <f>IFERROR(IF(K506="","",VLOOKUP(K506,Lists!$K$2:$O$61,3,FALSE)),"")</f>
        <v/>
      </c>
      <c r="O506" s="19"/>
      <c r="P506" s="31"/>
      <c r="Q506" s="32"/>
      <c r="R506" s="27"/>
    </row>
    <row r="507" ht="13.5" customHeight="1">
      <c r="A507" s="14"/>
      <c r="B507" s="18" t="str">
        <f>IF(A507="","",IFERROR(LOOKUP(A507,Lists!$U$2:$U$14,Lists!$T$2:$T$14),""))</f>
        <v/>
      </c>
      <c r="C507" s="19"/>
      <c r="D507" s="19"/>
      <c r="E507" s="18" t="str">
        <f t="shared" si="1"/>
        <v/>
      </c>
      <c r="F507" s="19"/>
      <c r="G507" s="23"/>
      <c r="H507" s="19"/>
      <c r="I507" s="19"/>
      <c r="J507" s="19"/>
      <c r="K507" s="19"/>
      <c r="L507" s="30" t="str">
        <f>IFERROR(IF(K507="","",VLOOKUP(K507,Lists!$K$2:$O$61,5,FALSE)),"")</f>
        <v/>
      </c>
      <c r="M507" s="18" t="str">
        <f>IFERROR(IF(K507="","",VLOOKUP(K507,Lists!$K$2:$O$61,2,FALSE)),"")</f>
        <v/>
      </c>
      <c r="N507" s="18" t="str">
        <f>IFERROR(IF(K507="","",VLOOKUP(K507,Lists!$K$2:$O$61,3,FALSE)),"")</f>
        <v/>
      </c>
      <c r="O507" s="19"/>
      <c r="P507" s="31"/>
      <c r="Q507" s="32"/>
      <c r="R507" s="27"/>
    </row>
    <row r="508" ht="13.5" customHeight="1">
      <c r="A508" s="14"/>
      <c r="B508" s="18" t="str">
        <f>IF(A508="","",IFERROR(LOOKUP(A508,Lists!$U$2:$U$14,Lists!$T$2:$T$14),""))</f>
        <v/>
      </c>
      <c r="C508" s="19"/>
      <c r="D508" s="19"/>
      <c r="E508" s="18" t="str">
        <f t="shared" si="1"/>
        <v/>
      </c>
      <c r="F508" s="19"/>
      <c r="G508" s="23"/>
      <c r="H508" s="19"/>
      <c r="I508" s="19"/>
      <c r="J508" s="19"/>
      <c r="K508" s="19"/>
      <c r="L508" s="30" t="str">
        <f>IFERROR(IF(K508="","",VLOOKUP(K508,Lists!$K$2:$O$61,5,FALSE)),"")</f>
        <v/>
      </c>
      <c r="M508" s="18" t="str">
        <f>IFERROR(IF(K508="","",VLOOKUP(K508,Lists!$K$2:$O$61,2,FALSE)),"")</f>
        <v/>
      </c>
      <c r="N508" s="18" t="str">
        <f>IFERROR(IF(K508="","",VLOOKUP(K508,Lists!$K$2:$O$61,3,FALSE)),"")</f>
        <v/>
      </c>
      <c r="O508" s="19"/>
      <c r="P508" s="31"/>
      <c r="Q508" s="32"/>
      <c r="R508" s="27"/>
    </row>
    <row r="509" ht="13.5" customHeight="1">
      <c r="A509" s="14"/>
      <c r="B509" s="18" t="str">
        <f>IF(A509="","",IFERROR(LOOKUP(A509,Lists!$U$2:$U$14,Lists!$T$2:$T$14),""))</f>
        <v/>
      </c>
      <c r="C509" s="19"/>
      <c r="D509" s="19"/>
      <c r="E509" s="18" t="str">
        <f t="shared" si="1"/>
        <v/>
      </c>
      <c r="F509" s="19"/>
      <c r="G509" s="23"/>
      <c r="H509" s="19"/>
      <c r="I509" s="19"/>
      <c r="J509" s="19"/>
      <c r="K509" s="19"/>
      <c r="L509" s="30" t="str">
        <f>IFERROR(IF(K509="","",VLOOKUP(K509,Lists!$K$2:$O$61,5,FALSE)),"")</f>
        <v/>
      </c>
      <c r="M509" s="18" t="str">
        <f>IFERROR(IF(K509="","",VLOOKUP(K509,Lists!$K$2:$O$61,2,FALSE)),"")</f>
        <v/>
      </c>
      <c r="N509" s="18" t="str">
        <f>IFERROR(IF(K509="","",VLOOKUP(K509,Lists!$K$2:$O$61,3,FALSE)),"")</f>
        <v/>
      </c>
      <c r="O509" s="19"/>
      <c r="P509" s="31"/>
      <c r="Q509" s="32"/>
      <c r="R509" s="27"/>
    </row>
    <row r="510" ht="13.5" customHeight="1">
      <c r="A510" s="14"/>
      <c r="B510" s="18" t="str">
        <f>IF(A510="","",IFERROR(LOOKUP(A510,Lists!$U$2:$U$14,Lists!$T$2:$T$14),""))</f>
        <v/>
      </c>
      <c r="C510" s="19"/>
      <c r="D510" s="19"/>
      <c r="E510" s="18" t="str">
        <f t="shared" si="1"/>
        <v/>
      </c>
      <c r="F510" s="19"/>
      <c r="G510" s="23"/>
      <c r="H510" s="19"/>
      <c r="I510" s="19"/>
      <c r="J510" s="19"/>
      <c r="K510" s="19"/>
      <c r="L510" s="30" t="str">
        <f>IFERROR(IF(K510="","",VLOOKUP(K510,Lists!$K$2:$O$61,5,FALSE)),"")</f>
        <v/>
      </c>
      <c r="M510" s="18" t="str">
        <f>IFERROR(IF(K510="","",VLOOKUP(K510,Lists!$K$2:$O$61,2,FALSE)),"")</f>
        <v/>
      </c>
      <c r="N510" s="18" t="str">
        <f>IFERROR(IF(K510="","",VLOOKUP(K510,Lists!$K$2:$O$61,3,FALSE)),"")</f>
        <v/>
      </c>
      <c r="O510" s="19"/>
      <c r="P510" s="31"/>
      <c r="Q510" s="32"/>
      <c r="R510" s="27"/>
    </row>
    <row r="511" ht="13.5" customHeight="1">
      <c r="A511" s="14"/>
      <c r="B511" s="18" t="str">
        <f>IF(A511="","",IFERROR(LOOKUP(A511,Lists!$U$2:$U$14,Lists!$T$2:$T$14),""))</f>
        <v/>
      </c>
      <c r="C511" s="19"/>
      <c r="D511" s="19"/>
      <c r="E511" s="18" t="str">
        <f t="shared" si="1"/>
        <v/>
      </c>
      <c r="F511" s="19"/>
      <c r="G511" s="23"/>
      <c r="H511" s="19"/>
      <c r="I511" s="19"/>
      <c r="J511" s="19"/>
      <c r="K511" s="19"/>
      <c r="L511" s="30" t="str">
        <f>IFERROR(IF(K511="","",VLOOKUP(K511,Lists!$K$2:$O$61,5,FALSE)),"")</f>
        <v/>
      </c>
      <c r="M511" s="18" t="str">
        <f>IFERROR(IF(K511="","",VLOOKUP(K511,Lists!$K$2:$O$61,2,FALSE)),"")</f>
        <v/>
      </c>
      <c r="N511" s="18" t="str">
        <f>IFERROR(IF(K511="","",VLOOKUP(K511,Lists!$K$2:$O$61,3,FALSE)),"")</f>
        <v/>
      </c>
      <c r="O511" s="19"/>
      <c r="P511" s="31"/>
      <c r="Q511" s="32"/>
      <c r="R511" s="27"/>
    </row>
    <row r="512" ht="13.5" customHeight="1">
      <c r="A512" s="14"/>
      <c r="B512" s="18" t="str">
        <f>IF(A512="","",IFERROR(LOOKUP(A512,Lists!$U$2:$U$14,Lists!$T$2:$T$14),""))</f>
        <v/>
      </c>
      <c r="C512" s="19"/>
      <c r="D512" s="19"/>
      <c r="E512" s="18" t="str">
        <f t="shared" si="1"/>
        <v/>
      </c>
      <c r="F512" s="19"/>
      <c r="G512" s="23"/>
      <c r="H512" s="19"/>
      <c r="I512" s="19"/>
      <c r="J512" s="19"/>
      <c r="K512" s="19"/>
      <c r="L512" s="30" t="str">
        <f>IFERROR(IF(K512="","",VLOOKUP(K512,Lists!$K$2:$O$61,5,FALSE)),"")</f>
        <v/>
      </c>
      <c r="M512" s="18" t="str">
        <f>IFERROR(IF(K512="","",VLOOKUP(K512,Lists!$K$2:$O$61,2,FALSE)),"")</f>
        <v/>
      </c>
      <c r="N512" s="18" t="str">
        <f>IFERROR(IF(K512="","",VLOOKUP(K512,Lists!$K$2:$O$61,3,FALSE)),"")</f>
        <v/>
      </c>
      <c r="O512" s="19"/>
      <c r="P512" s="31"/>
      <c r="Q512" s="32"/>
      <c r="R512" s="27"/>
    </row>
    <row r="513" ht="13.5" customHeight="1">
      <c r="A513" s="14"/>
      <c r="B513" s="18" t="str">
        <f>IF(A513="","",IFERROR(LOOKUP(A513,Lists!$U$2:$U$14,Lists!$T$2:$T$14),""))</f>
        <v/>
      </c>
      <c r="C513" s="19"/>
      <c r="D513" s="19"/>
      <c r="E513" s="18" t="str">
        <f t="shared" si="1"/>
        <v/>
      </c>
      <c r="F513" s="19"/>
      <c r="G513" s="23"/>
      <c r="H513" s="19"/>
      <c r="I513" s="19"/>
      <c r="J513" s="19"/>
      <c r="K513" s="19"/>
      <c r="L513" s="30" t="str">
        <f>IFERROR(IF(K513="","",VLOOKUP(K513,Lists!$K$2:$O$61,5,FALSE)),"")</f>
        <v/>
      </c>
      <c r="M513" s="18" t="str">
        <f>IFERROR(IF(K513="","",VLOOKUP(K513,Lists!$K$2:$O$61,2,FALSE)),"")</f>
        <v/>
      </c>
      <c r="N513" s="18" t="str">
        <f>IFERROR(IF(K513="","",VLOOKUP(K513,Lists!$K$2:$O$61,3,FALSE)),"")</f>
        <v/>
      </c>
      <c r="O513" s="19"/>
      <c r="P513" s="31"/>
      <c r="Q513" s="32"/>
      <c r="R513" s="27"/>
    </row>
    <row r="514" ht="13.5" customHeight="1">
      <c r="A514" s="14"/>
      <c r="B514" s="18" t="str">
        <f>IF(A514="","",IFERROR(LOOKUP(A514,Lists!$U$2:$U$14,Lists!$T$2:$T$14),""))</f>
        <v/>
      </c>
      <c r="C514" s="19"/>
      <c r="D514" s="19"/>
      <c r="E514" s="18" t="str">
        <f t="shared" si="1"/>
        <v/>
      </c>
      <c r="F514" s="19"/>
      <c r="G514" s="23"/>
      <c r="H514" s="19"/>
      <c r="I514" s="19"/>
      <c r="J514" s="19"/>
      <c r="K514" s="19"/>
      <c r="L514" s="30" t="str">
        <f>IFERROR(IF(K514="","",VLOOKUP(K514,Lists!$K$2:$O$61,5,FALSE)),"")</f>
        <v/>
      </c>
      <c r="M514" s="18" t="str">
        <f>IFERROR(IF(K514="","",VLOOKUP(K514,Lists!$K$2:$O$61,2,FALSE)),"")</f>
        <v/>
      </c>
      <c r="N514" s="18" t="str">
        <f>IFERROR(IF(K514="","",VLOOKUP(K514,Lists!$K$2:$O$61,3,FALSE)),"")</f>
        <v/>
      </c>
      <c r="O514" s="19"/>
      <c r="P514" s="31"/>
      <c r="Q514" s="32"/>
      <c r="R514" s="27"/>
    </row>
    <row r="515" ht="13.5" customHeight="1">
      <c r="A515" s="14"/>
      <c r="B515" s="18" t="str">
        <f>IF(A515="","",IFERROR(LOOKUP(A515,Lists!$U$2:$U$14,Lists!$T$2:$T$14),""))</f>
        <v/>
      </c>
      <c r="C515" s="19"/>
      <c r="D515" s="19"/>
      <c r="E515" s="18" t="str">
        <f t="shared" si="1"/>
        <v/>
      </c>
      <c r="F515" s="19"/>
      <c r="G515" s="23"/>
      <c r="H515" s="19"/>
      <c r="I515" s="19"/>
      <c r="J515" s="19"/>
      <c r="K515" s="19"/>
      <c r="L515" s="30" t="str">
        <f>IFERROR(IF(K515="","",VLOOKUP(K515,Lists!$K$2:$O$61,5,FALSE)),"")</f>
        <v/>
      </c>
      <c r="M515" s="18" t="str">
        <f>IFERROR(IF(K515="","",VLOOKUP(K515,Lists!$K$2:$O$61,2,FALSE)),"")</f>
        <v/>
      </c>
      <c r="N515" s="18" t="str">
        <f>IFERROR(IF(K515="","",VLOOKUP(K515,Lists!$K$2:$O$61,3,FALSE)),"")</f>
        <v/>
      </c>
      <c r="O515" s="19"/>
      <c r="P515" s="31"/>
      <c r="Q515" s="32"/>
      <c r="R515" s="27"/>
    </row>
    <row r="516" ht="13.5" customHeight="1">
      <c r="A516" s="14"/>
      <c r="B516" s="18" t="str">
        <f>IF(A516="","",IFERROR(LOOKUP(A516,Lists!$U$2:$U$14,Lists!$T$2:$T$14),""))</f>
        <v/>
      </c>
      <c r="C516" s="19"/>
      <c r="D516" s="19"/>
      <c r="E516" s="18" t="str">
        <f t="shared" si="1"/>
        <v/>
      </c>
      <c r="F516" s="19"/>
      <c r="G516" s="23"/>
      <c r="H516" s="19"/>
      <c r="I516" s="19"/>
      <c r="J516" s="19"/>
      <c r="K516" s="19"/>
      <c r="L516" s="30" t="str">
        <f>IFERROR(IF(K516="","",VLOOKUP(K516,Lists!$K$2:$O$61,5,FALSE)),"")</f>
        <v/>
      </c>
      <c r="M516" s="18" t="str">
        <f>IFERROR(IF(K516="","",VLOOKUP(K516,Lists!$K$2:$O$61,2,FALSE)),"")</f>
        <v/>
      </c>
      <c r="N516" s="18" t="str">
        <f>IFERROR(IF(K516="","",VLOOKUP(K516,Lists!$K$2:$O$61,3,FALSE)),"")</f>
        <v/>
      </c>
      <c r="O516" s="19"/>
      <c r="P516" s="31"/>
      <c r="Q516" s="32"/>
      <c r="R516" s="27"/>
    </row>
    <row r="517" ht="13.5" customHeight="1">
      <c r="A517" s="14"/>
      <c r="B517" s="18" t="str">
        <f>IF(A517="","",IFERROR(LOOKUP(A517,Lists!$U$2:$U$14,Lists!$T$2:$T$14),""))</f>
        <v/>
      </c>
      <c r="C517" s="19"/>
      <c r="D517" s="19"/>
      <c r="E517" s="18" t="str">
        <f t="shared" si="1"/>
        <v/>
      </c>
      <c r="F517" s="19"/>
      <c r="G517" s="23"/>
      <c r="H517" s="19"/>
      <c r="I517" s="19"/>
      <c r="J517" s="19"/>
      <c r="K517" s="19"/>
      <c r="L517" s="30" t="str">
        <f>IFERROR(IF(K517="","",VLOOKUP(K517,Lists!$K$2:$O$61,5,FALSE)),"")</f>
        <v/>
      </c>
      <c r="M517" s="18" t="str">
        <f>IFERROR(IF(K517="","",VLOOKUP(K517,Lists!$K$2:$O$61,2,FALSE)),"")</f>
        <v/>
      </c>
      <c r="N517" s="18" t="str">
        <f>IFERROR(IF(K517="","",VLOOKUP(K517,Lists!$K$2:$O$61,3,FALSE)),"")</f>
        <v/>
      </c>
      <c r="O517" s="19"/>
      <c r="P517" s="31"/>
      <c r="Q517" s="32"/>
      <c r="R517" s="27"/>
    </row>
    <row r="518" ht="13.5" customHeight="1">
      <c r="A518" s="14"/>
      <c r="B518" s="18" t="str">
        <f>IF(A518="","",IFERROR(LOOKUP(A518,Lists!$U$2:$U$14,Lists!$T$2:$T$14),""))</f>
        <v/>
      </c>
      <c r="C518" s="19"/>
      <c r="D518" s="19"/>
      <c r="E518" s="18" t="str">
        <f t="shared" si="1"/>
        <v/>
      </c>
      <c r="F518" s="19"/>
      <c r="G518" s="23"/>
      <c r="H518" s="19"/>
      <c r="I518" s="19"/>
      <c r="J518" s="19"/>
      <c r="K518" s="19"/>
      <c r="L518" s="30" t="str">
        <f>IFERROR(IF(K518="","",VLOOKUP(K518,Lists!$K$2:$O$61,5,FALSE)),"")</f>
        <v/>
      </c>
      <c r="M518" s="18" t="str">
        <f>IFERROR(IF(K518="","",VLOOKUP(K518,Lists!$K$2:$O$61,2,FALSE)),"")</f>
        <v/>
      </c>
      <c r="N518" s="18" t="str">
        <f>IFERROR(IF(K518="","",VLOOKUP(K518,Lists!$K$2:$O$61,3,FALSE)),"")</f>
        <v/>
      </c>
      <c r="O518" s="19"/>
      <c r="P518" s="31"/>
      <c r="Q518" s="32"/>
      <c r="R518" s="27"/>
    </row>
    <row r="519" ht="13.5" customHeight="1">
      <c r="A519" s="14"/>
      <c r="B519" s="18" t="str">
        <f>IF(A519="","",IFERROR(LOOKUP(A519,Lists!$U$2:$U$14,Lists!$T$2:$T$14),""))</f>
        <v/>
      </c>
      <c r="C519" s="19"/>
      <c r="D519" s="19"/>
      <c r="E519" s="18" t="str">
        <f t="shared" si="1"/>
        <v/>
      </c>
      <c r="F519" s="19"/>
      <c r="G519" s="23"/>
      <c r="H519" s="19"/>
      <c r="I519" s="19"/>
      <c r="J519" s="19"/>
      <c r="K519" s="19"/>
      <c r="L519" s="30" t="str">
        <f>IFERROR(IF(K519="","",VLOOKUP(K519,Lists!$K$2:$O$61,5,FALSE)),"")</f>
        <v/>
      </c>
      <c r="M519" s="18" t="str">
        <f>IFERROR(IF(K519="","",VLOOKUP(K519,Lists!$K$2:$O$61,2,FALSE)),"")</f>
        <v/>
      </c>
      <c r="N519" s="18" t="str">
        <f>IFERROR(IF(K519="","",VLOOKUP(K519,Lists!$K$2:$O$61,3,FALSE)),"")</f>
        <v/>
      </c>
      <c r="O519" s="19"/>
      <c r="P519" s="31"/>
      <c r="Q519" s="32"/>
      <c r="R519" s="27"/>
    </row>
    <row r="520" ht="13.5" customHeight="1">
      <c r="A520" s="14"/>
      <c r="B520" s="18" t="str">
        <f>IF(A520="","",IFERROR(LOOKUP(A520,Lists!$U$2:$U$14,Lists!$T$2:$T$14),""))</f>
        <v/>
      </c>
      <c r="C520" s="19"/>
      <c r="D520" s="19"/>
      <c r="E520" s="18" t="str">
        <f t="shared" si="1"/>
        <v/>
      </c>
      <c r="F520" s="19"/>
      <c r="G520" s="23"/>
      <c r="H520" s="19"/>
      <c r="I520" s="19"/>
      <c r="J520" s="19"/>
      <c r="K520" s="19"/>
      <c r="L520" s="30" t="str">
        <f>IFERROR(IF(K520="","",VLOOKUP(K520,Lists!$K$2:$O$61,5,FALSE)),"")</f>
        <v/>
      </c>
      <c r="M520" s="18" t="str">
        <f>IFERROR(IF(K520="","",VLOOKUP(K520,Lists!$K$2:$O$61,2,FALSE)),"")</f>
        <v/>
      </c>
      <c r="N520" s="18" t="str">
        <f>IFERROR(IF(K520="","",VLOOKUP(K520,Lists!$K$2:$O$61,3,FALSE)),"")</f>
        <v/>
      </c>
      <c r="O520" s="19"/>
      <c r="P520" s="31"/>
      <c r="Q520" s="32"/>
      <c r="R520" s="27"/>
    </row>
    <row r="521" ht="13.5" customHeight="1">
      <c r="A521" s="14"/>
      <c r="B521" s="18" t="str">
        <f>IF(A521="","",IFERROR(LOOKUP(A521,Lists!$U$2:$U$14,Lists!$T$2:$T$14),""))</f>
        <v/>
      </c>
      <c r="C521" s="19"/>
      <c r="D521" s="19"/>
      <c r="E521" s="18" t="str">
        <f t="shared" si="1"/>
        <v/>
      </c>
      <c r="F521" s="19"/>
      <c r="G521" s="23"/>
      <c r="H521" s="19"/>
      <c r="I521" s="19"/>
      <c r="J521" s="19"/>
      <c r="K521" s="19"/>
      <c r="L521" s="30" t="str">
        <f>IFERROR(IF(K521="","",VLOOKUP(K521,Lists!$K$2:$O$61,5,FALSE)),"")</f>
        <v/>
      </c>
      <c r="M521" s="18" t="str">
        <f>IFERROR(IF(K521="","",VLOOKUP(K521,Lists!$K$2:$O$61,2,FALSE)),"")</f>
        <v/>
      </c>
      <c r="N521" s="18" t="str">
        <f>IFERROR(IF(K521="","",VLOOKUP(K521,Lists!$K$2:$O$61,3,FALSE)),"")</f>
        <v/>
      </c>
      <c r="O521" s="19"/>
      <c r="P521" s="31"/>
      <c r="Q521" s="32"/>
      <c r="R521" s="27"/>
    </row>
    <row r="522" ht="13.5" customHeight="1">
      <c r="A522" s="14"/>
      <c r="B522" s="18" t="str">
        <f>IF(A522="","",IFERROR(LOOKUP(A522,Lists!$U$2:$U$14,Lists!$T$2:$T$14),""))</f>
        <v/>
      </c>
      <c r="C522" s="19"/>
      <c r="D522" s="19"/>
      <c r="E522" s="18" t="str">
        <f t="shared" si="1"/>
        <v/>
      </c>
      <c r="F522" s="19"/>
      <c r="G522" s="23"/>
      <c r="H522" s="19"/>
      <c r="I522" s="19"/>
      <c r="J522" s="19"/>
      <c r="K522" s="19"/>
      <c r="L522" s="30" t="str">
        <f>IFERROR(IF(K522="","",VLOOKUP(K522,Lists!$K$2:$O$61,5,FALSE)),"")</f>
        <v/>
      </c>
      <c r="M522" s="18" t="str">
        <f>IFERROR(IF(K522="","",VLOOKUP(K522,Lists!$K$2:$O$61,2,FALSE)),"")</f>
        <v/>
      </c>
      <c r="N522" s="18" t="str">
        <f>IFERROR(IF(K522="","",VLOOKUP(K522,Lists!$K$2:$O$61,3,FALSE)),"")</f>
        <v/>
      </c>
      <c r="O522" s="19"/>
      <c r="P522" s="31"/>
      <c r="Q522" s="32"/>
      <c r="R522" s="27"/>
    </row>
    <row r="523" ht="13.5" customHeight="1">
      <c r="A523" s="14"/>
      <c r="B523" s="18" t="str">
        <f>IF(A523="","",IFERROR(LOOKUP(A523,Lists!$U$2:$U$14,Lists!$T$2:$T$14),""))</f>
        <v/>
      </c>
      <c r="C523" s="19"/>
      <c r="D523" s="19"/>
      <c r="E523" s="18" t="str">
        <f t="shared" si="1"/>
        <v/>
      </c>
      <c r="F523" s="19"/>
      <c r="G523" s="23"/>
      <c r="H523" s="19"/>
      <c r="I523" s="19"/>
      <c r="J523" s="19"/>
      <c r="K523" s="19"/>
      <c r="L523" s="30" t="str">
        <f>IFERROR(IF(K523="","",VLOOKUP(K523,Lists!$K$2:$O$61,5,FALSE)),"")</f>
        <v/>
      </c>
      <c r="M523" s="18" t="str">
        <f>IFERROR(IF(K523="","",VLOOKUP(K523,Lists!$K$2:$O$61,2,FALSE)),"")</f>
        <v/>
      </c>
      <c r="N523" s="18" t="str">
        <f>IFERROR(IF(K523="","",VLOOKUP(K523,Lists!$K$2:$O$61,3,FALSE)),"")</f>
        <v/>
      </c>
      <c r="O523" s="19"/>
      <c r="P523" s="31"/>
      <c r="Q523" s="32"/>
      <c r="R523" s="27"/>
    </row>
    <row r="524" ht="13.5" customHeight="1">
      <c r="A524" s="14"/>
      <c r="B524" s="18" t="str">
        <f>IF(A524="","",IFERROR(LOOKUP(A524,Lists!$U$2:$U$14,Lists!$T$2:$T$14),""))</f>
        <v/>
      </c>
      <c r="C524" s="19"/>
      <c r="D524" s="19"/>
      <c r="E524" s="18" t="str">
        <f t="shared" si="1"/>
        <v/>
      </c>
      <c r="F524" s="19"/>
      <c r="G524" s="23"/>
      <c r="H524" s="19"/>
      <c r="I524" s="19"/>
      <c r="J524" s="19"/>
      <c r="K524" s="19"/>
      <c r="L524" s="30" t="str">
        <f>IFERROR(IF(K524="","",VLOOKUP(K524,Lists!$K$2:$O$61,5,FALSE)),"")</f>
        <v/>
      </c>
      <c r="M524" s="18" t="str">
        <f>IFERROR(IF(K524="","",VLOOKUP(K524,Lists!$K$2:$O$61,2,FALSE)),"")</f>
        <v/>
      </c>
      <c r="N524" s="18" t="str">
        <f>IFERROR(IF(K524="","",VLOOKUP(K524,Lists!$K$2:$O$61,3,FALSE)),"")</f>
        <v/>
      </c>
      <c r="O524" s="19"/>
      <c r="P524" s="31"/>
      <c r="Q524" s="32"/>
      <c r="R524" s="27"/>
    </row>
    <row r="525" ht="13.5" customHeight="1">
      <c r="A525" s="14"/>
      <c r="B525" s="18" t="str">
        <f>IF(A525="","",IFERROR(LOOKUP(A525,Lists!$U$2:$U$14,Lists!$T$2:$T$14),""))</f>
        <v/>
      </c>
      <c r="C525" s="19"/>
      <c r="D525" s="19"/>
      <c r="E525" s="18" t="str">
        <f t="shared" si="1"/>
        <v/>
      </c>
      <c r="F525" s="19"/>
      <c r="G525" s="23"/>
      <c r="H525" s="19"/>
      <c r="I525" s="19"/>
      <c r="J525" s="19"/>
      <c r="K525" s="19"/>
      <c r="L525" s="30" t="str">
        <f>IFERROR(IF(K525="","",VLOOKUP(K525,Lists!$K$2:$O$61,5,FALSE)),"")</f>
        <v/>
      </c>
      <c r="M525" s="18" t="str">
        <f>IFERROR(IF(K525="","",VLOOKUP(K525,Lists!$K$2:$O$61,2,FALSE)),"")</f>
        <v/>
      </c>
      <c r="N525" s="18" t="str">
        <f>IFERROR(IF(K525="","",VLOOKUP(K525,Lists!$K$2:$O$61,3,FALSE)),"")</f>
        <v/>
      </c>
      <c r="O525" s="19"/>
      <c r="P525" s="31"/>
      <c r="Q525" s="32"/>
      <c r="R525" s="27"/>
    </row>
    <row r="526" ht="13.5" customHeight="1">
      <c r="A526" s="14"/>
      <c r="B526" s="18" t="str">
        <f>IF(A526="","",IFERROR(LOOKUP(A526,Lists!$U$2:$U$14,Lists!$T$2:$T$14),""))</f>
        <v/>
      </c>
      <c r="C526" s="19"/>
      <c r="D526" s="19"/>
      <c r="E526" s="18" t="str">
        <f t="shared" si="1"/>
        <v/>
      </c>
      <c r="F526" s="19"/>
      <c r="G526" s="23"/>
      <c r="H526" s="19"/>
      <c r="I526" s="19"/>
      <c r="J526" s="19"/>
      <c r="K526" s="19"/>
      <c r="L526" s="30" t="str">
        <f>IFERROR(IF(K526="","",VLOOKUP(K526,Lists!$K$2:$O$61,5,FALSE)),"")</f>
        <v/>
      </c>
      <c r="M526" s="18" t="str">
        <f>IFERROR(IF(K526="","",VLOOKUP(K526,Lists!$K$2:$O$61,2,FALSE)),"")</f>
        <v/>
      </c>
      <c r="N526" s="18" t="str">
        <f>IFERROR(IF(K526="","",VLOOKUP(K526,Lists!$K$2:$O$61,3,FALSE)),"")</f>
        <v/>
      </c>
      <c r="O526" s="19"/>
      <c r="P526" s="31"/>
      <c r="Q526" s="32"/>
      <c r="R526" s="27"/>
    </row>
    <row r="527" ht="13.5" customHeight="1">
      <c r="A527" s="14"/>
      <c r="B527" s="18" t="str">
        <f>IF(A527="","",IFERROR(LOOKUP(A527,Lists!$U$2:$U$14,Lists!$T$2:$T$14),""))</f>
        <v/>
      </c>
      <c r="C527" s="19"/>
      <c r="D527" s="19"/>
      <c r="E527" s="18" t="str">
        <f t="shared" si="1"/>
        <v/>
      </c>
      <c r="F527" s="19"/>
      <c r="G527" s="23"/>
      <c r="H527" s="19"/>
      <c r="I527" s="19"/>
      <c r="J527" s="19"/>
      <c r="K527" s="19"/>
      <c r="L527" s="30" t="str">
        <f>IFERROR(IF(K527="","",VLOOKUP(K527,Lists!$K$2:$O$61,5,FALSE)),"")</f>
        <v/>
      </c>
      <c r="M527" s="18" t="str">
        <f>IFERROR(IF(K527="","",VLOOKUP(K527,Lists!$K$2:$O$61,2,FALSE)),"")</f>
        <v/>
      </c>
      <c r="N527" s="18" t="str">
        <f>IFERROR(IF(K527="","",VLOOKUP(K527,Lists!$K$2:$O$61,3,FALSE)),"")</f>
        <v/>
      </c>
      <c r="O527" s="19"/>
      <c r="P527" s="31"/>
      <c r="Q527" s="32"/>
      <c r="R527" s="27"/>
    </row>
    <row r="528" ht="13.5" customHeight="1">
      <c r="A528" s="14"/>
      <c r="B528" s="18" t="str">
        <f>IF(A528="","",IFERROR(LOOKUP(A528,Lists!$U$2:$U$14,Lists!$T$2:$T$14),""))</f>
        <v/>
      </c>
      <c r="C528" s="19"/>
      <c r="D528" s="19"/>
      <c r="E528" s="18" t="str">
        <f t="shared" si="1"/>
        <v/>
      </c>
      <c r="F528" s="19"/>
      <c r="G528" s="23"/>
      <c r="H528" s="19"/>
      <c r="I528" s="19"/>
      <c r="J528" s="19"/>
      <c r="K528" s="19"/>
      <c r="L528" s="30" t="str">
        <f>IFERROR(IF(K528="","",VLOOKUP(K528,Lists!$K$2:$O$61,5,FALSE)),"")</f>
        <v/>
      </c>
      <c r="M528" s="18" t="str">
        <f>IFERROR(IF(K528="","",VLOOKUP(K528,Lists!$K$2:$O$61,2,FALSE)),"")</f>
        <v/>
      </c>
      <c r="N528" s="18" t="str">
        <f>IFERROR(IF(K528="","",VLOOKUP(K528,Lists!$K$2:$O$61,3,FALSE)),"")</f>
        <v/>
      </c>
      <c r="O528" s="19"/>
      <c r="P528" s="31"/>
      <c r="Q528" s="32"/>
      <c r="R528" s="27"/>
    </row>
    <row r="529" ht="13.5" customHeight="1">
      <c r="A529" s="14"/>
      <c r="B529" s="18" t="str">
        <f>IF(A529="","",IFERROR(LOOKUP(A529,Lists!$U$2:$U$14,Lists!$T$2:$T$14),""))</f>
        <v/>
      </c>
      <c r="C529" s="19"/>
      <c r="D529" s="19"/>
      <c r="E529" s="18" t="str">
        <f t="shared" si="1"/>
        <v/>
      </c>
      <c r="F529" s="19"/>
      <c r="G529" s="23"/>
      <c r="H529" s="19"/>
      <c r="I529" s="19"/>
      <c r="J529" s="19"/>
      <c r="K529" s="19"/>
      <c r="L529" s="30" t="str">
        <f>IFERROR(IF(K529="","",VLOOKUP(K529,Lists!$K$2:$O$61,5,FALSE)),"")</f>
        <v/>
      </c>
      <c r="M529" s="18" t="str">
        <f>IFERROR(IF(K529="","",VLOOKUP(K529,Lists!$K$2:$O$61,2,FALSE)),"")</f>
        <v/>
      </c>
      <c r="N529" s="18" t="str">
        <f>IFERROR(IF(K529="","",VLOOKUP(K529,Lists!$K$2:$O$61,3,FALSE)),"")</f>
        <v/>
      </c>
      <c r="O529" s="19"/>
      <c r="P529" s="31"/>
      <c r="Q529" s="32"/>
      <c r="R529" s="27"/>
    </row>
    <row r="530" ht="13.5" customHeight="1">
      <c r="A530" s="14"/>
      <c r="B530" s="18" t="str">
        <f>IF(A530="","",IFERROR(LOOKUP(A530,Lists!$U$2:$U$14,Lists!$T$2:$T$14),""))</f>
        <v/>
      </c>
      <c r="C530" s="19"/>
      <c r="D530" s="19"/>
      <c r="E530" s="18" t="str">
        <f t="shared" si="1"/>
        <v/>
      </c>
      <c r="F530" s="19"/>
      <c r="G530" s="23"/>
      <c r="H530" s="19"/>
      <c r="I530" s="19"/>
      <c r="J530" s="19"/>
      <c r="K530" s="19"/>
      <c r="L530" s="30" t="str">
        <f>IFERROR(IF(K530="","",VLOOKUP(K530,Lists!$K$2:$O$61,5,FALSE)),"")</f>
        <v/>
      </c>
      <c r="M530" s="18" t="str">
        <f>IFERROR(IF(K530="","",VLOOKUP(K530,Lists!$K$2:$O$61,2,FALSE)),"")</f>
        <v/>
      </c>
      <c r="N530" s="18" t="str">
        <f>IFERROR(IF(K530="","",VLOOKUP(K530,Lists!$K$2:$O$61,3,FALSE)),"")</f>
        <v/>
      </c>
      <c r="O530" s="19"/>
      <c r="P530" s="31"/>
      <c r="Q530" s="32"/>
      <c r="R530" s="27"/>
    </row>
    <row r="531" ht="13.5" customHeight="1">
      <c r="A531" s="14"/>
      <c r="B531" s="18" t="str">
        <f>IF(A531="","",IFERROR(LOOKUP(A531,Lists!$U$2:$U$14,Lists!$T$2:$T$14),""))</f>
        <v/>
      </c>
      <c r="C531" s="19"/>
      <c r="D531" s="19"/>
      <c r="E531" s="18" t="str">
        <f t="shared" si="1"/>
        <v/>
      </c>
      <c r="F531" s="19"/>
      <c r="G531" s="23"/>
      <c r="H531" s="19"/>
      <c r="I531" s="19"/>
      <c r="J531" s="19"/>
      <c r="K531" s="19"/>
      <c r="L531" s="30" t="str">
        <f>IFERROR(IF(K531="","",VLOOKUP(K531,Lists!$K$2:$O$61,5,FALSE)),"")</f>
        <v/>
      </c>
      <c r="M531" s="18" t="str">
        <f>IFERROR(IF(K531="","",VLOOKUP(K531,Lists!$K$2:$O$61,2,FALSE)),"")</f>
        <v/>
      </c>
      <c r="N531" s="18" t="str">
        <f>IFERROR(IF(K531="","",VLOOKUP(K531,Lists!$K$2:$O$61,3,FALSE)),"")</f>
        <v/>
      </c>
      <c r="O531" s="19"/>
      <c r="P531" s="31"/>
      <c r="Q531" s="32"/>
      <c r="R531" s="27"/>
    </row>
    <row r="532" ht="13.5" customHeight="1">
      <c r="A532" s="14"/>
      <c r="B532" s="18" t="str">
        <f>IF(A532="","",IFERROR(LOOKUP(A532,Lists!$U$2:$U$14,Lists!$T$2:$T$14),""))</f>
        <v/>
      </c>
      <c r="C532" s="19"/>
      <c r="D532" s="19"/>
      <c r="E532" s="18" t="str">
        <f t="shared" si="1"/>
        <v/>
      </c>
      <c r="F532" s="19"/>
      <c r="G532" s="23"/>
      <c r="H532" s="19"/>
      <c r="I532" s="19"/>
      <c r="J532" s="19"/>
      <c r="K532" s="19"/>
      <c r="L532" s="30" t="str">
        <f>IFERROR(IF(K532="","",VLOOKUP(K532,Lists!$K$2:$O$61,5,FALSE)),"")</f>
        <v/>
      </c>
      <c r="M532" s="18" t="str">
        <f>IFERROR(IF(K532="","",VLOOKUP(K532,Lists!$K$2:$O$61,2,FALSE)),"")</f>
        <v/>
      </c>
      <c r="N532" s="18" t="str">
        <f>IFERROR(IF(K532="","",VLOOKUP(K532,Lists!$K$2:$O$61,3,FALSE)),"")</f>
        <v/>
      </c>
      <c r="O532" s="19"/>
      <c r="P532" s="31"/>
      <c r="Q532" s="32"/>
      <c r="R532" s="27"/>
    </row>
    <row r="533" ht="13.5" customHeight="1">
      <c r="A533" s="14"/>
      <c r="B533" s="18" t="str">
        <f>IF(A533="","",IFERROR(LOOKUP(A533,Lists!$U$2:$U$14,Lists!$T$2:$T$14),""))</f>
        <v/>
      </c>
      <c r="C533" s="19"/>
      <c r="D533" s="19"/>
      <c r="E533" s="18" t="str">
        <f t="shared" si="1"/>
        <v/>
      </c>
      <c r="F533" s="19"/>
      <c r="G533" s="23"/>
      <c r="H533" s="19"/>
      <c r="I533" s="19"/>
      <c r="J533" s="19"/>
      <c r="K533" s="19"/>
      <c r="L533" s="30" t="str">
        <f>IFERROR(IF(K533="","",VLOOKUP(K533,Lists!$K$2:$O$61,5,FALSE)),"")</f>
        <v/>
      </c>
      <c r="M533" s="18" t="str">
        <f>IFERROR(IF(K533="","",VLOOKUP(K533,Lists!$K$2:$O$61,2,FALSE)),"")</f>
        <v/>
      </c>
      <c r="N533" s="18" t="str">
        <f>IFERROR(IF(K533="","",VLOOKUP(K533,Lists!$K$2:$O$61,3,FALSE)),"")</f>
        <v/>
      </c>
      <c r="O533" s="19"/>
      <c r="P533" s="31"/>
      <c r="Q533" s="32"/>
      <c r="R533" s="27"/>
    </row>
    <row r="534" ht="13.5" customHeight="1">
      <c r="A534" s="14"/>
      <c r="B534" s="18" t="str">
        <f>IF(A534="","",IFERROR(LOOKUP(A534,Lists!$U$2:$U$14,Lists!$T$2:$T$14),""))</f>
        <v/>
      </c>
      <c r="C534" s="19"/>
      <c r="D534" s="19"/>
      <c r="E534" s="18" t="str">
        <f t="shared" si="1"/>
        <v/>
      </c>
      <c r="F534" s="19"/>
      <c r="G534" s="23"/>
      <c r="H534" s="19"/>
      <c r="I534" s="19"/>
      <c r="J534" s="19"/>
      <c r="K534" s="19"/>
      <c r="L534" s="30" t="str">
        <f>IFERROR(IF(K534="","",VLOOKUP(K534,Lists!$K$2:$O$61,5,FALSE)),"")</f>
        <v/>
      </c>
      <c r="M534" s="18" t="str">
        <f>IFERROR(IF(K534="","",VLOOKUP(K534,Lists!$K$2:$O$61,2,FALSE)),"")</f>
        <v/>
      </c>
      <c r="N534" s="18" t="str">
        <f>IFERROR(IF(K534="","",VLOOKUP(K534,Lists!$K$2:$O$61,3,FALSE)),"")</f>
        <v/>
      </c>
      <c r="O534" s="19"/>
      <c r="P534" s="31"/>
      <c r="Q534" s="32"/>
      <c r="R534" s="27"/>
    </row>
    <row r="535" ht="13.5" customHeight="1">
      <c r="A535" s="14"/>
      <c r="B535" s="18" t="str">
        <f>IF(A535="","",IFERROR(LOOKUP(A535,Lists!$U$2:$U$14,Lists!$T$2:$T$14),""))</f>
        <v/>
      </c>
      <c r="C535" s="19"/>
      <c r="D535" s="19"/>
      <c r="E535" s="18" t="str">
        <f t="shared" si="1"/>
        <v/>
      </c>
      <c r="F535" s="19"/>
      <c r="G535" s="23"/>
      <c r="H535" s="19"/>
      <c r="I535" s="19"/>
      <c r="J535" s="19"/>
      <c r="K535" s="19"/>
      <c r="L535" s="30" t="str">
        <f>IFERROR(IF(K535="","",VLOOKUP(K535,Lists!$K$2:$O$61,5,FALSE)),"")</f>
        <v/>
      </c>
      <c r="M535" s="18" t="str">
        <f>IFERROR(IF(K535="","",VLOOKUP(K535,Lists!$K$2:$O$61,2,FALSE)),"")</f>
        <v/>
      </c>
      <c r="N535" s="18" t="str">
        <f>IFERROR(IF(K535="","",VLOOKUP(K535,Lists!$K$2:$O$61,3,FALSE)),"")</f>
        <v/>
      </c>
      <c r="O535" s="19"/>
      <c r="P535" s="31"/>
      <c r="Q535" s="32"/>
      <c r="R535" s="27"/>
    </row>
    <row r="536" ht="13.5" customHeight="1">
      <c r="A536" s="14"/>
      <c r="B536" s="18" t="str">
        <f>IF(A536="","",IFERROR(LOOKUP(A536,Lists!$U$2:$U$14,Lists!$T$2:$T$14),""))</f>
        <v/>
      </c>
      <c r="C536" s="19"/>
      <c r="D536" s="19"/>
      <c r="E536" s="18" t="str">
        <f t="shared" si="1"/>
        <v/>
      </c>
      <c r="F536" s="19"/>
      <c r="G536" s="23"/>
      <c r="H536" s="19"/>
      <c r="I536" s="19"/>
      <c r="J536" s="19"/>
      <c r="K536" s="19"/>
      <c r="L536" s="30" t="str">
        <f>IFERROR(IF(K536="","",VLOOKUP(K536,Lists!$K$2:$O$61,5,FALSE)),"")</f>
        <v/>
      </c>
      <c r="M536" s="18" t="str">
        <f>IFERROR(IF(K536="","",VLOOKUP(K536,Lists!$K$2:$O$61,2,FALSE)),"")</f>
        <v/>
      </c>
      <c r="N536" s="18" t="str">
        <f>IFERROR(IF(K536="","",VLOOKUP(K536,Lists!$K$2:$O$61,3,FALSE)),"")</f>
        <v/>
      </c>
      <c r="O536" s="19"/>
      <c r="P536" s="31"/>
      <c r="Q536" s="32"/>
      <c r="R536" s="27"/>
    </row>
    <row r="537" ht="13.5" customHeight="1">
      <c r="A537" s="14"/>
      <c r="B537" s="18" t="str">
        <f>IF(A537="","",IFERROR(LOOKUP(A537,Lists!$U$2:$U$14,Lists!$T$2:$T$14),""))</f>
        <v/>
      </c>
      <c r="C537" s="19"/>
      <c r="D537" s="19"/>
      <c r="E537" s="18" t="str">
        <f t="shared" si="1"/>
        <v/>
      </c>
      <c r="F537" s="19"/>
      <c r="G537" s="23"/>
      <c r="H537" s="19"/>
      <c r="I537" s="19"/>
      <c r="J537" s="19"/>
      <c r="K537" s="19"/>
      <c r="L537" s="30" t="str">
        <f>IFERROR(IF(K537="","",VLOOKUP(K537,Lists!$K$2:$O$61,5,FALSE)),"")</f>
        <v/>
      </c>
      <c r="M537" s="18" t="str">
        <f>IFERROR(IF(K537="","",VLOOKUP(K537,Lists!$K$2:$O$61,2,FALSE)),"")</f>
        <v/>
      </c>
      <c r="N537" s="18" t="str">
        <f>IFERROR(IF(K537="","",VLOOKUP(K537,Lists!$K$2:$O$61,3,FALSE)),"")</f>
        <v/>
      </c>
      <c r="O537" s="19"/>
      <c r="P537" s="31"/>
      <c r="Q537" s="32"/>
      <c r="R537" s="27"/>
    </row>
    <row r="538" ht="13.5" customHeight="1">
      <c r="A538" s="14"/>
      <c r="B538" s="18" t="str">
        <f>IF(A538="","",IFERROR(LOOKUP(A538,Lists!$U$2:$U$14,Lists!$T$2:$T$14),""))</f>
        <v/>
      </c>
      <c r="C538" s="19"/>
      <c r="D538" s="19"/>
      <c r="E538" s="18" t="str">
        <f t="shared" si="1"/>
        <v/>
      </c>
      <c r="F538" s="19"/>
      <c r="G538" s="23"/>
      <c r="H538" s="19"/>
      <c r="I538" s="19"/>
      <c r="J538" s="19"/>
      <c r="K538" s="19"/>
      <c r="L538" s="30" t="str">
        <f>IFERROR(IF(K538="","",VLOOKUP(K538,Lists!$K$2:$O$61,5,FALSE)),"")</f>
        <v/>
      </c>
      <c r="M538" s="18" t="str">
        <f>IFERROR(IF(K538="","",VLOOKUP(K538,Lists!$K$2:$O$61,2,FALSE)),"")</f>
        <v/>
      </c>
      <c r="N538" s="18" t="str">
        <f>IFERROR(IF(K538="","",VLOOKUP(K538,Lists!$K$2:$O$61,3,FALSE)),"")</f>
        <v/>
      </c>
      <c r="O538" s="19"/>
      <c r="P538" s="31"/>
      <c r="Q538" s="32"/>
      <c r="R538" s="27"/>
    </row>
    <row r="539" ht="13.5" customHeight="1">
      <c r="A539" s="14"/>
      <c r="B539" s="18" t="str">
        <f>IF(A539="","",IFERROR(LOOKUP(A539,Lists!$U$2:$U$14,Lists!$T$2:$T$14),""))</f>
        <v/>
      </c>
      <c r="C539" s="19"/>
      <c r="D539" s="19"/>
      <c r="E539" s="18" t="str">
        <f t="shared" si="1"/>
        <v/>
      </c>
      <c r="F539" s="19"/>
      <c r="G539" s="23"/>
      <c r="H539" s="19"/>
      <c r="I539" s="19"/>
      <c r="J539" s="19"/>
      <c r="K539" s="19"/>
      <c r="L539" s="30" t="str">
        <f>IFERROR(IF(K539="","",VLOOKUP(K539,Lists!$K$2:$O$61,5,FALSE)),"")</f>
        <v/>
      </c>
      <c r="M539" s="18" t="str">
        <f>IFERROR(IF(K539="","",VLOOKUP(K539,Lists!$K$2:$O$61,2,FALSE)),"")</f>
        <v/>
      </c>
      <c r="N539" s="18" t="str">
        <f>IFERROR(IF(K539="","",VLOOKUP(K539,Lists!$K$2:$O$61,3,FALSE)),"")</f>
        <v/>
      </c>
      <c r="O539" s="19"/>
      <c r="P539" s="31"/>
      <c r="Q539" s="32"/>
      <c r="R539" s="27"/>
    </row>
    <row r="540" ht="13.5" customHeight="1">
      <c r="A540" s="14"/>
      <c r="B540" s="18" t="str">
        <f>IF(A540="","",IFERROR(LOOKUP(A540,Lists!$U$2:$U$14,Lists!$T$2:$T$14),""))</f>
        <v/>
      </c>
      <c r="C540" s="19"/>
      <c r="D540" s="19"/>
      <c r="E540" s="18" t="str">
        <f t="shared" si="1"/>
        <v/>
      </c>
      <c r="F540" s="19"/>
      <c r="G540" s="23"/>
      <c r="H540" s="19"/>
      <c r="I540" s="19"/>
      <c r="J540" s="19"/>
      <c r="K540" s="19"/>
      <c r="L540" s="30" t="str">
        <f>IFERROR(IF(K540="","",VLOOKUP(K540,Lists!$K$2:$O$61,5,FALSE)),"")</f>
        <v/>
      </c>
      <c r="M540" s="18" t="str">
        <f>IFERROR(IF(K540="","",VLOOKUP(K540,Lists!$K$2:$O$61,2,FALSE)),"")</f>
        <v/>
      </c>
      <c r="N540" s="18" t="str">
        <f>IFERROR(IF(K540="","",VLOOKUP(K540,Lists!$K$2:$O$61,3,FALSE)),"")</f>
        <v/>
      </c>
      <c r="O540" s="19"/>
      <c r="P540" s="31"/>
      <c r="Q540" s="32"/>
      <c r="R540" s="27"/>
    </row>
    <row r="541" ht="13.5" customHeight="1">
      <c r="A541" s="14"/>
      <c r="B541" s="18" t="str">
        <f>IF(A541="","",IFERROR(LOOKUP(A541,Lists!$U$2:$U$14,Lists!$T$2:$T$14),""))</f>
        <v/>
      </c>
      <c r="C541" s="19"/>
      <c r="D541" s="19"/>
      <c r="E541" s="18" t="str">
        <f t="shared" si="1"/>
        <v/>
      </c>
      <c r="F541" s="19"/>
      <c r="G541" s="23"/>
      <c r="H541" s="19"/>
      <c r="I541" s="19"/>
      <c r="J541" s="19"/>
      <c r="K541" s="19"/>
      <c r="L541" s="30" t="str">
        <f>IFERROR(IF(K541="","",VLOOKUP(K541,Lists!$K$2:$O$61,5,FALSE)),"")</f>
        <v/>
      </c>
      <c r="M541" s="18" t="str">
        <f>IFERROR(IF(K541="","",VLOOKUP(K541,Lists!$K$2:$O$61,2,FALSE)),"")</f>
        <v/>
      </c>
      <c r="N541" s="18" t="str">
        <f>IFERROR(IF(K541="","",VLOOKUP(K541,Lists!$K$2:$O$61,3,FALSE)),"")</f>
        <v/>
      </c>
      <c r="O541" s="19"/>
      <c r="P541" s="31"/>
      <c r="Q541" s="32"/>
      <c r="R541" s="27"/>
    </row>
    <row r="542" ht="13.5" customHeight="1">
      <c r="A542" s="14"/>
      <c r="B542" s="18" t="str">
        <f>IF(A542="","",IFERROR(LOOKUP(A542,Lists!$U$2:$U$14,Lists!$T$2:$T$14),""))</f>
        <v/>
      </c>
      <c r="C542" s="19"/>
      <c r="D542" s="19"/>
      <c r="E542" s="18" t="str">
        <f t="shared" si="1"/>
        <v/>
      </c>
      <c r="F542" s="19"/>
      <c r="G542" s="23"/>
      <c r="H542" s="19"/>
      <c r="I542" s="19"/>
      <c r="J542" s="19"/>
      <c r="K542" s="19"/>
      <c r="L542" s="30" t="str">
        <f>IFERROR(IF(K542="","",VLOOKUP(K542,Lists!$K$2:$O$61,5,FALSE)),"")</f>
        <v/>
      </c>
      <c r="M542" s="18" t="str">
        <f>IFERROR(IF(K542="","",VLOOKUP(K542,Lists!$K$2:$O$61,2,FALSE)),"")</f>
        <v/>
      </c>
      <c r="N542" s="18" t="str">
        <f>IFERROR(IF(K542="","",VLOOKUP(K542,Lists!$K$2:$O$61,3,FALSE)),"")</f>
        <v/>
      </c>
      <c r="O542" s="19"/>
      <c r="P542" s="31"/>
      <c r="Q542" s="32"/>
      <c r="R542" s="27"/>
    </row>
    <row r="543" ht="13.5" customHeight="1">
      <c r="A543" s="14"/>
      <c r="B543" s="18" t="str">
        <f>IF(A543="","",IFERROR(LOOKUP(A543,Lists!$U$2:$U$14,Lists!$T$2:$T$14),""))</f>
        <v/>
      </c>
      <c r="C543" s="19"/>
      <c r="D543" s="19"/>
      <c r="E543" s="18" t="str">
        <f t="shared" si="1"/>
        <v/>
      </c>
      <c r="F543" s="19"/>
      <c r="G543" s="23"/>
      <c r="H543" s="19"/>
      <c r="I543" s="19"/>
      <c r="J543" s="19"/>
      <c r="K543" s="19"/>
      <c r="L543" s="30" t="str">
        <f>IFERROR(IF(K543="","",VLOOKUP(K543,Lists!$K$2:$O$61,5,FALSE)),"")</f>
        <v/>
      </c>
      <c r="M543" s="18" t="str">
        <f>IFERROR(IF(K543="","",VLOOKUP(K543,Lists!$K$2:$O$61,2,FALSE)),"")</f>
        <v/>
      </c>
      <c r="N543" s="18" t="str">
        <f>IFERROR(IF(K543="","",VLOOKUP(K543,Lists!$K$2:$O$61,3,FALSE)),"")</f>
        <v/>
      </c>
      <c r="O543" s="19"/>
      <c r="P543" s="31"/>
      <c r="Q543" s="32"/>
      <c r="R543" s="27"/>
    </row>
    <row r="544" ht="13.5" customHeight="1">
      <c r="A544" s="14"/>
      <c r="B544" s="18" t="str">
        <f>IF(A544="","",IFERROR(LOOKUP(A544,Lists!$U$2:$U$14,Lists!$T$2:$T$14),""))</f>
        <v/>
      </c>
      <c r="C544" s="19"/>
      <c r="D544" s="19"/>
      <c r="E544" s="18" t="str">
        <f t="shared" si="1"/>
        <v/>
      </c>
      <c r="F544" s="19"/>
      <c r="G544" s="23"/>
      <c r="H544" s="19"/>
      <c r="I544" s="19"/>
      <c r="J544" s="19"/>
      <c r="K544" s="19"/>
      <c r="L544" s="30" t="str">
        <f>IFERROR(IF(K544="","",VLOOKUP(K544,Lists!$K$2:$O$61,5,FALSE)),"")</f>
        <v/>
      </c>
      <c r="M544" s="18" t="str">
        <f>IFERROR(IF(K544="","",VLOOKUP(K544,Lists!$K$2:$O$61,2,FALSE)),"")</f>
        <v/>
      </c>
      <c r="N544" s="18" t="str">
        <f>IFERROR(IF(K544="","",VLOOKUP(K544,Lists!$K$2:$O$61,3,FALSE)),"")</f>
        <v/>
      </c>
      <c r="O544" s="19"/>
      <c r="P544" s="31"/>
      <c r="Q544" s="32"/>
      <c r="R544" s="27"/>
    </row>
    <row r="545" ht="13.5" customHeight="1">
      <c r="A545" s="14"/>
      <c r="B545" s="18" t="str">
        <f>IF(A545="","",IFERROR(LOOKUP(A545,Lists!$U$2:$U$14,Lists!$T$2:$T$14),""))</f>
        <v/>
      </c>
      <c r="C545" s="19"/>
      <c r="D545" s="19"/>
      <c r="E545" s="18" t="str">
        <f t="shared" si="1"/>
        <v/>
      </c>
      <c r="F545" s="19"/>
      <c r="G545" s="23"/>
      <c r="H545" s="19"/>
      <c r="I545" s="19"/>
      <c r="J545" s="19"/>
      <c r="K545" s="19"/>
      <c r="L545" s="30" t="str">
        <f>IFERROR(IF(K545="","",VLOOKUP(K545,Lists!$K$2:$O$61,5,FALSE)),"")</f>
        <v/>
      </c>
      <c r="M545" s="18" t="str">
        <f>IFERROR(IF(K545="","",VLOOKUP(K545,Lists!$K$2:$O$61,2,FALSE)),"")</f>
        <v/>
      </c>
      <c r="N545" s="18" t="str">
        <f>IFERROR(IF(K545="","",VLOOKUP(K545,Lists!$K$2:$O$61,3,FALSE)),"")</f>
        <v/>
      </c>
      <c r="O545" s="19"/>
      <c r="P545" s="31"/>
      <c r="Q545" s="32"/>
      <c r="R545" s="27"/>
    </row>
    <row r="546" ht="13.5" customHeight="1">
      <c r="A546" s="14"/>
      <c r="B546" s="18" t="str">
        <f>IF(A546="","",IFERROR(LOOKUP(A546,Lists!$U$2:$U$14,Lists!$T$2:$T$14),""))</f>
        <v/>
      </c>
      <c r="C546" s="19"/>
      <c r="D546" s="19"/>
      <c r="E546" s="18" t="str">
        <f t="shared" si="1"/>
        <v/>
      </c>
      <c r="F546" s="19"/>
      <c r="G546" s="23"/>
      <c r="H546" s="19"/>
      <c r="I546" s="19"/>
      <c r="J546" s="19"/>
      <c r="K546" s="19"/>
      <c r="L546" s="30" t="str">
        <f>IFERROR(IF(K546="","",VLOOKUP(K546,Lists!$K$2:$O$61,5,FALSE)),"")</f>
        <v/>
      </c>
      <c r="M546" s="18" t="str">
        <f>IFERROR(IF(K546="","",VLOOKUP(K546,Lists!$K$2:$O$61,2,FALSE)),"")</f>
        <v/>
      </c>
      <c r="N546" s="18" t="str">
        <f>IFERROR(IF(K546="","",VLOOKUP(K546,Lists!$K$2:$O$61,3,FALSE)),"")</f>
        <v/>
      </c>
      <c r="O546" s="19"/>
      <c r="P546" s="31"/>
      <c r="Q546" s="32"/>
      <c r="R546" s="27"/>
    </row>
    <row r="547" ht="13.5" customHeight="1">
      <c r="A547" s="14"/>
      <c r="B547" s="18" t="str">
        <f>IF(A547="","",IFERROR(LOOKUP(A547,Lists!$U$2:$U$14,Lists!$T$2:$T$14),""))</f>
        <v/>
      </c>
      <c r="C547" s="19"/>
      <c r="D547" s="19"/>
      <c r="E547" s="18" t="str">
        <f t="shared" si="1"/>
        <v/>
      </c>
      <c r="F547" s="19"/>
      <c r="G547" s="23"/>
      <c r="H547" s="19"/>
      <c r="I547" s="19"/>
      <c r="J547" s="19"/>
      <c r="K547" s="19"/>
      <c r="L547" s="30" t="str">
        <f>IFERROR(IF(K547="","",VLOOKUP(K547,Lists!$K$2:$O$61,5,FALSE)),"")</f>
        <v/>
      </c>
      <c r="M547" s="18" t="str">
        <f>IFERROR(IF(K547="","",VLOOKUP(K547,Lists!$K$2:$O$61,2,FALSE)),"")</f>
        <v/>
      </c>
      <c r="N547" s="18" t="str">
        <f>IFERROR(IF(K547="","",VLOOKUP(K547,Lists!$K$2:$O$61,3,FALSE)),"")</f>
        <v/>
      </c>
      <c r="O547" s="19"/>
      <c r="P547" s="31"/>
      <c r="Q547" s="32"/>
      <c r="R547" s="27"/>
    </row>
    <row r="548" ht="13.5" customHeight="1">
      <c r="A548" s="14"/>
      <c r="B548" s="18" t="str">
        <f>IF(A548="","",IFERROR(LOOKUP(A548,Lists!$U$2:$U$14,Lists!$T$2:$T$14),""))</f>
        <v/>
      </c>
      <c r="C548" s="19"/>
      <c r="D548" s="19"/>
      <c r="E548" s="18" t="str">
        <f t="shared" si="1"/>
        <v/>
      </c>
      <c r="F548" s="19"/>
      <c r="G548" s="23"/>
      <c r="H548" s="19"/>
      <c r="I548" s="19"/>
      <c r="J548" s="19"/>
      <c r="K548" s="19"/>
      <c r="L548" s="30" t="str">
        <f>IFERROR(IF(K548="","",VLOOKUP(K548,Lists!$K$2:$O$61,5,FALSE)),"")</f>
        <v/>
      </c>
      <c r="M548" s="18" t="str">
        <f>IFERROR(IF(K548="","",VLOOKUP(K548,Lists!$K$2:$O$61,2,FALSE)),"")</f>
        <v/>
      </c>
      <c r="N548" s="18" t="str">
        <f>IFERROR(IF(K548="","",VLOOKUP(K548,Lists!$K$2:$O$61,3,FALSE)),"")</f>
        <v/>
      </c>
      <c r="O548" s="19"/>
      <c r="P548" s="31"/>
      <c r="Q548" s="32"/>
      <c r="R548" s="27"/>
    </row>
    <row r="549" ht="13.5" customHeight="1">
      <c r="A549" s="14"/>
      <c r="B549" s="18" t="str">
        <f>IF(A549="","",IFERROR(LOOKUP(A549,Lists!$U$2:$U$14,Lists!$T$2:$T$14),""))</f>
        <v/>
      </c>
      <c r="C549" s="19"/>
      <c r="D549" s="19"/>
      <c r="E549" s="18" t="str">
        <f t="shared" si="1"/>
        <v/>
      </c>
      <c r="F549" s="19"/>
      <c r="G549" s="23"/>
      <c r="H549" s="19"/>
      <c r="I549" s="19"/>
      <c r="J549" s="19"/>
      <c r="K549" s="19"/>
      <c r="L549" s="30" t="str">
        <f>IFERROR(IF(K549="","",VLOOKUP(K549,Lists!$K$2:$O$61,5,FALSE)),"")</f>
        <v/>
      </c>
      <c r="M549" s="18" t="str">
        <f>IFERROR(IF(K549="","",VLOOKUP(K549,Lists!$K$2:$O$61,2,FALSE)),"")</f>
        <v/>
      </c>
      <c r="N549" s="18" t="str">
        <f>IFERROR(IF(K549="","",VLOOKUP(K549,Lists!$K$2:$O$61,3,FALSE)),"")</f>
        <v/>
      </c>
      <c r="O549" s="19"/>
      <c r="P549" s="31"/>
      <c r="Q549" s="32"/>
      <c r="R549" s="27"/>
    </row>
    <row r="550" ht="13.5" customHeight="1">
      <c r="A550" s="14"/>
      <c r="B550" s="18" t="str">
        <f>IF(A550="","",IFERROR(LOOKUP(A550,Lists!$U$2:$U$14,Lists!$T$2:$T$14),""))</f>
        <v/>
      </c>
      <c r="C550" s="19"/>
      <c r="D550" s="19"/>
      <c r="E550" s="18" t="str">
        <f t="shared" si="1"/>
        <v/>
      </c>
      <c r="F550" s="19"/>
      <c r="G550" s="23"/>
      <c r="H550" s="19"/>
      <c r="I550" s="19"/>
      <c r="J550" s="19"/>
      <c r="K550" s="19"/>
      <c r="L550" s="30" t="str">
        <f>IFERROR(IF(K550="","",VLOOKUP(K550,Lists!$K$2:$O$61,5,FALSE)),"")</f>
        <v/>
      </c>
      <c r="M550" s="18" t="str">
        <f>IFERROR(IF(K550="","",VLOOKUP(K550,Lists!$K$2:$O$61,2,FALSE)),"")</f>
        <v/>
      </c>
      <c r="N550" s="18" t="str">
        <f>IFERROR(IF(K550="","",VLOOKUP(K550,Lists!$K$2:$O$61,3,FALSE)),"")</f>
        <v/>
      </c>
      <c r="O550" s="19"/>
      <c r="P550" s="31"/>
      <c r="Q550" s="32"/>
      <c r="R550" s="27"/>
    </row>
    <row r="551" ht="13.5" customHeight="1">
      <c r="A551" s="14"/>
      <c r="B551" s="18" t="str">
        <f>IF(A551="","",IFERROR(LOOKUP(A551,Lists!$U$2:$U$14,Lists!$T$2:$T$14),""))</f>
        <v/>
      </c>
      <c r="C551" s="19"/>
      <c r="D551" s="19"/>
      <c r="E551" s="18" t="str">
        <f t="shared" si="1"/>
        <v/>
      </c>
      <c r="F551" s="19"/>
      <c r="G551" s="23"/>
      <c r="H551" s="19"/>
      <c r="I551" s="19"/>
      <c r="J551" s="19"/>
      <c r="K551" s="19"/>
      <c r="L551" s="30" t="str">
        <f>IFERROR(IF(K551="","",VLOOKUP(K551,Lists!$K$2:$O$61,5,FALSE)),"")</f>
        <v/>
      </c>
      <c r="M551" s="18" t="str">
        <f>IFERROR(IF(K551="","",VLOOKUP(K551,Lists!$K$2:$O$61,2,FALSE)),"")</f>
        <v/>
      </c>
      <c r="N551" s="18" t="str">
        <f>IFERROR(IF(K551="","",VLOOKUP(K551,Lists!$K$2:$O$61,3,FALSE)),"")</f>
        <v/>
      </c>
      <c r="O551" s="19"/>
      <c r="P551" s="31"/>
      <c r="Q551" s="32"/>
      <c r="R551" s="27"/>
    </row>
    <row r="552" ht="13.5" customHeight="1">
      <c r="A552" s="14"/>
      <c r="B552" s="18" t="str">
        <f>IF(A552="","",IFERROR(LOOKUP(A552,Lists!$U$2:$U$14,Lists!$T$2:$T$14),""))</f>
        <v/>
      </c>
      <c r="C552" s="19"/>
      <c r="D552" s="19"/>
      <c r="E552" s="18" t="str">
        <f t="shared" si="1"/>
        <v/>
      </c>
      <c r="F552" s="19"/>
      <c r="G552" s="23"/>
      <c r="H552" s="19"/>
      <c r="I552" s="19"/>
      <c r="J552" s="19"/>
      <c r="K552" s="19"/>
      <c r="L552" s="30" t="str">
        <f>IFERROR(IF(K552="","",VLOOKUP(K552,Lists!$K$2:$O$61,5,FALSE)),"")</f>
        <v/>
      </c>
      <c r="M552" s="18" t="str">
        <f>IFERROR(IF(K552="","",VLOOKUP(K552,Lists!$K$2:$O$61,2,FALSE)),"")</f>
        <v/>
      </c>
      <c r="N552" s="18" t="str">
        <f>IFERROR(IF(K552="","",VLOOKUP(K552,Lists!$K$2:$O$61,3,FALSE)),"")</f>
        <v/>
      </c>
      <c r="O552" s="19"/>
      <c r="P552" s="31"/>
      <c r="Q552" s="32"/>
      <c r="R552" s="27"/>
    </row>
    <row r="553" ht="13.5" customHeight="1">
      <c r="A553" s="14"/>
      <c r="B553" s="18" t="str">
        <f>IF(A553="","",IFERROR(LOOKUP(A553,Lists!$U$2:$U$14,Lists!$T$2:$T$14),""))</f>
        <v/>
      </c>
      <c r="C553" s="19"/>
      <c r="D553" s="19"/>
      <c r="E553" s="18" t="str">
        <f t="shared" si="1"/>
        <v/>
      </c>
      <c r="F553" s="19"/>
      <c r="G553" s="23"/>
      <c r="H553" s="19"/>
      <c r="I553" s="19"/>
      <c r="J553" s="19"/>
      <c r="K553" s="19"/>
      <c r="L553" s="30" t="str">
        <f>IFERROR(IF(K553="","",VLOOKUP(K553,Lists!$K$2:$O$61,5,FALSE)),"")</f>
        <v/>
      </c>
      <c r="M553" s="18" t="str">
        <f>IFERROR(IF(K553="","",VLOOKUP(K553,Lists!$K$2:$O$61,2,FALSE)),"")</f>
        <v/>
      </c>
      <c r="N553" s="18" t="str">
        <f>IFERROR(IF(K553="","",VLOOKUP(K553,Lists!$K$2:$O$61,3,FALSE)),"")</f>
        <v/>
      </c>
      <c r="O553" s="19"/>
      <c r="P553" s="31"/>
      <c r="Q553" s="32"/>
      <c r="R553" s="27"/>
    </row>
    <row r="554" ht="13.5" customHeight="1">
      <c r="A554" s="14"/>
      <c r="B554" s="18" t="str">
        <f>IF(A554="","",IFERROR(LOOKUP(A554,Lists!$U$2:$U$14,Lists!$T$2:$T$14),""))</f>
        <v/>
      </c>
      <c r="C554" s="19"/>
      <c r="D554" s="19"/>
      <c r="E554" s="18" t="str">
        <f t="shared" si="1"/>
        <v/>
      </c>
      <c r="F554" s="19"/>
      <c r="G554" s="23"/>
      <c r="H554" s="19"/>
      <c r="I554" s="19"/>
      <c r="J554" s="19"/>
      <c r="K554" s="19"/>
      <c r="L554" s="30" t="str">
        <f>IFERROR(IF(K554="","",VLOOKUP(K554,Lists!$K$2:$O$61,5,FALSE)),"")</f>
        <v/>
      </c>
      <c r="M554" s="18" t="str">
        <f>IFERROR(IF(K554="","",VLOOKUP(K554,Lists!$K$2:$O$61,2,FALSE)),"")</f>
        <v/>
      </c>
      <c r="N554" s="18" t="str">
        <f>IFERROR(IF(K554="","",VLOOKUP(K554,Lists!$K$2:$O$61,3,FALSE)),"")</f>
        <v/>
      </c>
      <c r="O554" s="19"/>
      <c r="P554" s="31"/>
      <c r="Q554" s="32"/>
      <c r="R554" s="27"/>
    </row>
    <row r="555" ht="13.5" customHeight="1">
      <c r="A555" s="14"/>
      <c r="B555" s="18" t="str">
        <f>IF(A555="","",IFERROR(LOOKUP(A555,Lists!$U$2:$U$14,Lists!$T$2:$T$14),""))</f>
        <v/>
      </c>
      <c r="C555" s="19"/>
      <c r="D555" s="19"/>
      <c r="E555" s="18" t="str">
        <f t="shared" si="1"/>
        <v/>
      </c>
      <c r="F555" s="19"/>
      <c r="G555" s="23"/>
      <c r="H555" s="19"/>
      <c r="I555" s="19"/>
      <c r="J555" s="19"/>
      <c r="K555" s="19"/>
      <c r="L555" s="30" t="str">
        <f>IFERROR(IF(K555="","",VLOOKUP(K555,Lists!$K$2:$O$61,5,FALSE)),"")</f>
        <v/>
      </c>
      <c r="M555" s="18" t="str">
        <f>IFERROR(IF(K555="","",VLOOKUP(K555,Lists!$K$2:$O$61,2,FALSE)),"")</f>
        <v/>
      </c>
      <c r="N555" s="18" t="str">
        <f>IFERROR(IF(K555="","",VLOOKUP(K555,Lists!$K$2:$O$61,3,FALSE)),"")</f>
        <v/>
      </c>
      <c r="O555" s="19"/>
      <c r="P555" s="31"/>
      <c r="Q555" s="32"/>
      <c r="R555" s="27"/>
    </row>
    <row r="556" ht="13.5" customHeight="1">
      <c r="A556" s="14"/>
      <c r="B556" s="18" t="str">
        <f>IF(A556="","",IFERROR(LOOKUP(A556,Lists!$U$2:$U$14,Lists!$T$2:$T$14),""))</f>
        <v/>
      </c>
      <c r="C556" s="19"/>
      <c r="D556" s="19"/>
      <c r="E556" s="18" t="str">
        <f t="shared" si="1"/>
        <v/>
      </c>
      <c r="F556" s="19"/>
      <c r="G556" s="23"/>
      <c r="H556" s="19"/>
      <c r="I556" s="19"/>
      <c r="J556" s="19"/>
      <c r="K556" s="19"/>
      <c r="L556" s="30" t="str">
        <f>IFERROR(IF(K556="","",VLOOKUP(K556,Lists!$K$2:$O$61,5,FALSE)),"")</f>
        <v/>
      </c>
      <c r="M556" s="18" t="str">
        <f>IFERROR(IF(K556="","",VLOOKUP(K556,Lists!$K$2:$O$61,2,FALSE)),"")</f>
        <v/>
      </c>
      <c r="N556" s="18" t="str">
        <f>IFERROR(IF(K556="","",VLOOKUP(K556,Lists!$K$2:$O$61,3,FALSE)),"")</f>
        <v/>
      </c>
      <c r="O556" s="19"/>
      <c r="P556" s="31"/>
      <c r="Q556" s="32"/>
      <c r="R556" s="27"/>
    </row>
    <row r="557" ht="13.5" customHeight="1">
      <c r="A557" s="14"/>
      <c r="B557" s="18" t="str">
        <f>IF(A557="","",IFERROR(LOOKUP(A557,Lists!$U$2:$U$14,Lists!$T$2:$T$14),""))</f>
        <v/>
      </c>
      <c r="C557" s="19"/>
      <c r="D557" s="19"/>
      <c r="E557" s="18" t="str">
        <f t="shared" si="1"/>
        <v/>
      </c>
      <c r="F557" s="19"/>
      <c r="G557" s="23"/>
      <c r="H557" s="19"/>
      <c r="I557" s="19"/>
      <c r="J557" s="19"/>
      <c r="K557" s="19"/>
      <c r="L557" s="30" t="str">
        <f>IFERROR(IF(K557="","",VLOOKUP(K557,Lists!$K$2:$O$61,5,FALSE)),"")</f>
        <v/>
      </c>
      <c r="M557" s="18" t="str">
        <f>IFERROR(IF(K557="","",VLOOKUP(K557,Lists!$K$2:$O$61,2,FALSE)),"")</f>
        <v/>
      </c>
      <c r="N557" s="18" t="str">
        <f>IFERROR(IF(K557="","",VLOOKUP(K557,Lists!$K$2:$O$61,3,FALSE)),"")</f>
        <v/>
      </c>
      <c r="O557" s="19"/>
      <c r="P557" s="31"/>
      <c r="Q557" s="32"/>
      <c r="R557" s="27"/>
    </row>
    <row r="558" ht="13.5" customHeight="1">
      <c r="A558" s="14"/>
      <c r="B558" s="18" t="str">
        <f>IF(A558="","",IFERROR(LOOKUP(A558,Lists!$U$2:$U$14,Lists!$T$2:$T$14),""))</f>
        <v/>
      </c>
      <c r="C558" s="19"/>
      <c r="D558" s="19"/>
      <c r="E558" s="18" t="str">
        <f t="shared" si="1"/>
        <v/>
      </c>
      <c r="F558" s="19"/>
      <c r="G558" s="23"/>
      <c r="H558" s="19"/>
      <c r="I558" s="19"/>
      <c r="J558" s="19"/>
      <c r="K558" s="19"/>
      <c r="L558" s="30" t="str">
        <f>IFERROR(IF(K558="","",VLOOKUP(K558,Lists!$K$2:$O$61,5,FALSE)),"")</f>
        <v/>
      </c>
      <c r="M558" s="18" t="str">
        <f>IFERROR(IF(K558="","",VLOOKUP(K558,Lists!$K$2:$O$61,2,FALSE)),"")</f>
        <v/>
      </c>
      <c r="N558" s="18" t="str">
        <f>IFERROR(IF(K558="","",VLOOKUP(K558,Lists!$K$2:$O$61,3,FALSE)),"")</f>
        <v/>
      </c>
      <c r="O558" s="19"/>
      <c r="P558" s="31"/>
      <c r="Q558" s="32"/>
      <c r="R558" s="27"/>
    </row>
    <row r="559" ht="13.5" customHeight="1">
      <c r="A559" s="14"/>
      <c r="B559" s="18" t="str">
        <f>IF(A559="","",IFERROR(LOOKUP(A559,Lists!$U$2:$U$14,Lists!$T$2:$T$14),""))</f>
        <v/>
      </c>
      <c r="C559" s="19"/>
      <c r="D559" s="19"/>
      <c r="E559" s="18" t="str">
        <f t="shared" si="1"/>
        <v/>
      </c>
      <c r="F559" s="19"/>
      <c r="G559" s="23"/>
      <c r="H559" s="19"/>
      <c r="I559" s="19"/>
      <c r="J559" s="19"/>
      <c r="K559" s="19"/>
      <c r="L559" s="30" t="str">
        <f>IFERROR(IF(K559="","",VLOOKUP(K559,Lists!$K$2:$O$61,5,FALSE)),"")</f>
        <v/>
      </c>
      <c r="M559" s="18" t="str">
        <f>IFERROR(IF(K559="","",VLOOKUP(K559,Lists!$K$2:$O$61,2,FALSE)),"")</f>
        <v/>
      </c>
      <c r="N559" s="18" t="str">
        <f>IFERROR(IF(K559="","",VLOOKUP(K559,Lists!$K$2:$O$61,3,FALSE)),"")</f>
        <v/>
      </c>
      <c r="O559" s="19"/>
      <c r="P559" s="31"/>
      <c r="Q559" s="32"/>
      <c r="R559" s="27"/>
    </row>
    <row r="560" ht="13.5" customHeight="1">
      <c r="A560" s="14"/>
      <c r="B560" s="18" t="str">
        <f>IF(A560="","",IFERROR(LOOKUP(A560,Lists!$U$2:$U$14,Lists!$T$2:$T$14),""))</f>
        <v/>
      </c>
      <c r="C560" s="19"/>
      <c r="D560" s="19"/>
      <c r="E560" s="18" t="str">
        <f t="shared" si="1"/>
        <v/>
      </c>
      <c r="F560" s="19"/>
      <c r="G560" s="23"/>
      <c r="H560" s="19"/>
      <c r="I560" s="19"/>
      <c r="J560" s="19"/>
      <c r="K560" s="19"/>
      <c r="L560" s="30" t="str">
        <f>IFERROR(IF(K560="","",VLOOKUP(K560,Lists!$K$2:$O$61,5,FALSE)),"")</f>
        <v/>
      </c>
      <c r="M560" s="18" t="str">
        <f>IFERROR(IF(K560="","",VLOOKUP(K560,Lists!$K$2:$O$61,2,FALSE)),"")</f>
        <v/>
      </c>
      <c r="N560" s="18" t="str">
        <f>IFERROR(IF(K560="","",VLOOKUP(K560,Lists!$K$2:$O$61,3,FALSE)),"")</f>
        <v/>
      </c>
      <c r="O560" s="19"/>
      <c r="P560" s="31"/>
      <c r="Q560" s="32"/>
      <c r="R560" s="27"/>
    </row>
    <row r="561" ht="13.5" customHeight="1">
      <c r="A561" s="14"/>
      <c r="B561" s="18" t="str">
        <f>IF(A561="","",IFERROR(LOOKUP(A561,Lists!$U$2:$U$14,Lists!$T$2:$T$14),""))</f>
        <v/>
      </c>
      <c r="C561" s="19"/>
      <c r="D561" s="19"/>
      <c r="E561" s="18" t="str">
        <f t="shared" si="1"/>
        <v/>
      </c>
      <c r="F561" s="19"/>
      <c r="G561" s="23"/>
      <c r="H561" s="19"/>
      <c r="I561" s="19"/>
      <c r="J561" s="19"/>
      <c r="K561" s="19"/>
      <c r="L561" s="30" t="str">
        <f>IFERROR(IF(K561="","",VLOOKUP(K561,Lists!$K$2:$O$61,5,FALSE)),"")</f>
        <v/>
      </c>
      <c r="M561" s="18" t="str">
        <f>IFERROR(IF(K561="","",VLOOKUP(K561,Lists!$K$2:$O$61,2,FALSE)),"")</f>
        <v/>
      </c>
      <c r="N561" s="18" t="str">
        <f>IFERROR(IF(K561="","",VLOOKUP(K561,Lists!$K$2:$O$61,3,FALSE)),"")</f>
        <v/>
      </c>
      <c r="O561" s="19"/>
      <c r="P561" s="31"/>
      <c r="Q561" s="32"/>
      <c r="R561" s="27"/>
    </row>
    <row r="562" ht="13.5" customHeight="1">
      <c r="A562" s="14"/>
      <c r="B562" s="18" t="str">
        <f>IF(A562="","",IFERROR(LOOKUP(A562,Lists!$U$2:$U$14,Lists!$T$2:$T$14),""))</f>
        <v/>
      </c>
      <c r="C562" s="19"/>
      <c r="D562" s="19"/>
      <c r="E562" s="18" t="str">
        <f t="shared" si="1"/>
        <v/>
      </c>
      <c r="F562" s="19"/>
      <c r="G562" s="23"/>
      <c r="H562" s="19"/>
      <c r="I562" s="19"/>
      <c r="J562" s="19"/>
      <c r="K562" s="19"/>
      <c r="L562" s="30" t="str">
        <f>IFERROR(IF(K562="","",VLOOKUP(K562,Lists!$K$2:$O$61,5,FALSE)),"")</f>
        <v/>
      </c>
      <c r="M562" s="18" t="str">
        <f>IFERROR(IF(K562="","",VLOOKUP(K562,Lists!$K$2:$O$61,2,FALSE)),"")</f>
        <v/>
      </c>
      <c r="N562" s="18" t="str">
        <f>IFERROR(IF(K562="","",VLOOKUP(K562,Lists!$K$2:$O$61,3,FALSE)),"")</f>
        <v/>
      </c>
      <c r="O562" s="19"/>
      <c r="P562" s="31"/>
      <c r="Q562" s="32"/>
      <c r="R562" s="27"/>
    </row>
    <row r="563" ht="13.5" customHeight="1">
      <c r="A563" s="14"/>
      <c r="B563" s="18" t="str">
        <f>IF(A563="","",IFERROR(LOOKUP(A563,Lists!$U$2:$U$14,Lists!$T$2:$T$14),""))</f>
        <v/>
      </c>
      <c r="C563" s="19"/>
      <c r="D563" s="19"/>
      <c r="E563" s="18" t="str">
        <f t="shared" si="1"/>
        <v/>
      </c>
      <c r="F563" s="19"/>
      <c r="G563" s="23"/>
      <c r="H563" s="19"/>
      <c r="I563" s="19"/>
      <c r="J563" s="19"/>
      <c r="K563" s="19"/>
      <c r="L563" s="30" t="str">
        <f>IFERROR(IF(K563="","",VLOOKUP(K563,Lists!$K$2:$O$61,5,FALSE)),"")</f>
        <v/>
      </c>
      <c r="M563" s="18" t="str">
        <f>IFERROR(IF(K563="","",VLOOKUP(K563,Lists!$K$2:$O$61,2,FALSE)),"")</f>
        <v/>
      </c>
      <c r="N563" s="18" t="str">
        <f>IFERROR(IF(K563="","",VLOOKUP(K563,Lists!$K$2:$O$61,3,FALSE)),"")</f>
        <v/>
      </c>
      <c r="O563" s="19"/>
      <c r="P563" s="31"/>
      <c r="Q563" s="32"/>
      <c r="R563" s="27"/>
    </row>
    <row r="564" ht="13.5" customHeight="1">
      <c r="A564" s="14"/>
      <c r="B564" s="18" t="str">
        <f>IF(A564="","",IFERROR(LOOKUP(A564,Lists!$U$2:$U$14,Lists!$T$2:$T$14),""))</f>
        <v/>
      </c>
      <c r="C564" s="19"/>
      <c r="D564" s="19"/>
      <c r="E564" s="18" t="str">
        <f t="shared" si="1"/>
        <v/>
      </c>
      <c r="F564" s="19"/>
      <c r="G564" s="23"/>
      <c r="H564" s="19"/>
      <c r="I564" s="19"/>
      <c r="J564" s="19"/>
      <c r="K564" s="19"/>
      <c r="L564" s="30" t="str">
        <f>IFERROR(IF(K564="","",VLOOKUP(K564,Lists!$K$2:$O$61,5,FALSE)),"")</f>
        <v/>
      </c>
      <c r="M564" s="18" t="str">
        <f>IFERROR(IF(K564="","",VLOOKUP(K564,Lists!$K$2:$O$61,2,FALSE)),"")</f>
        <v/>
      </c>
      <c r="N564" s="18" t="str">
        <f>IFERROR(IF(K564="","",VLOOKUP(K564,Lists!$K$2:$O$61,3,FALSE)),"")</f>
        <v/>
      </c>
      <c r="O564" s="19"/>
      <c r="P564" s="31"/>
      <c r="Q564" s="32"/>
      <c r="R564" s="27"/>
    </row>
    <row r="565" ht="13.5" customHeight="1">
      <c r="A565" s="14"/>
      <c r="B565" s="18" t="str">
        <f>IF(A565="","",IFERROR(LOOKUP(A565,Lists!$U$2:$U$14,Lists!$T$2:$T$14),""))</f>
        <v/>
      </c>
      <c r="C565" s="19"/>
      <c r="D565" s="19"/>
      <c r="E565" s="18" t="str">
        <f t="shared" si="1"/>
        <v/>
      </c>
      <c r="F565" s="19"/>
      <c r="G565" s="23"/>
      <c r="H565" s="19"/>
      <c r="I565" s="19"/>
      <c r="J565" s="19"/>
      <c r="K565" s="19"/>
      <c r="L565" s="30" t="str">
        <f>IFERROR(IF(K565="","",VLOOKUP(K565,Lists!$K$2:$O$61,5,FALSE)),"")</f>
        <v/>
      </c>
      <c r="M565" s="18" t="str">
        <f>IFERROR(IF(K565="","",VLOOKUP(K565,Lists!$K$2:$O$61,2,FALSE)),"")</f>
        <v/>
      </c>
      <c r="N565" s="18" t="str">
        <f>IFERROR(IF(K565="","",VLOOKUP(K565,Lists!$K$2:$O$61,3,FALSE)),"")</f>
        <v/>
      </c>
      <c r="O565" s="19"/>
      <c r="P565" s="31"/>
      <c r="Q565" s="32"/>
      <c r="R565" s="27"/>
    </row>
    <row r="566" ht="13.5" customHeight="1">
      <c r="A566" s="14"/>
      <c r="B566" s="18" t="str">
        <f>IF(A566="","",IFERROR(LOOKUP(A566,Lists!$U$2:$U$14,Lists!$T$2:$T$14),""))</f>
        <v/>
      </c>
      <c r="C566" s="19"/>
      <c r="D566" s="19"/>
      <c r="E566" s="18" t="str">
        <f t="shared" si="1"/>
        <v/>
      </c>
      <c r="F566" s="19"/>
      <c r="G566" s="23"/>
      <c r="H566" s="19"/>
      <c r="I566" s="19"/>
      <c r="J566" s="19"/>
      <c r="K566" s="19"/>
      <c r="L566" s="30" t="str">
        <f>IFERROR(IF(K566="","",VLOOKUP(K566,Lists!$K$2:$O$61,5,FALSE)),"")</f>
        <v/>
      </c>
      <c r="M566" s="18" t="str">
        <f>IFERROR(IF(K566="","",VLOOKUP(K566,Lists!$K$2:$O$61,2,FALSE)),"")</f>
        <v/>
      </c>
      <c r="N566" s="18" t="str">
        <f>IFERROR(IF(K566="","",VLOOKUP(K566,Lists!$K$2:$O$61,3,FALSE)),"")</f>
        <v/>
      </c>
      <c r="O566" s="19"/>
      <c r="P566" s="31"/>
      <c r="Q566" s="32"/>
      <c r="R566" s="27"/>
    </row>
    <row r="567" ht="13.5" customHeight="1">
      <c r="A567" s="14"/>
      <c r="B567" s="18" t="str">
        <f>IF(A567="","",IFERROR(LOOKUP(A567,Lists!$U$2:$U$14,Lists!$T$2:$T$14),""))</f>
        <v/>
      </c>
      <c r="C567" s="19"/>
      <c r="D567" s="19"/>
      <c r="E567" s="18" t="str">
        <f t="shared" si="1"/>
        <v/>
      </c>
      <c r="F567" s="19"/>
      <c r="G567" s="23"/>
      <c r="H567" s="19"/>
      <c r="I567" s="19"/>
      <c r="J567" s="19"/>
      <c r="K567" s="19"/>
      <c r="L567" s="30" t="str">
        <f>IFERROR(IF(K567="","",VLOOKUP(K567,Lists!$K$2:$O$61,5,FALSE)),"")</f>
        <v/>
      </c>
      <c r="M567" s="18" t="str">
        <f>IFERROR(IF(K567="","",VLOOKUP(K567,Lists!$K$2:$O$61,2,FALSE)),"")</f>
        <v/>
      </c>
      <c r="N567" s="18" t="str">
        <f>IFERROR(IF(K567="","",VLOOKUP(K567,Lists!$K$2:$O$61,3,FALSE)),"")</f>
        <v/>
      </c>
      <c r="O567" s="19"/>
      <c r="P567" s="31"/>
      <c r="Q567" s="32"/>
      <c r="R567" s="27"/>
    </row>
    <row r="568" ht="13.5" customHeight="1">
      <c r="A568" s="14"/>
      <c r="B568" s="18" t="str">
        <f>IF(A568="","",IFERROR(LOOKUP(A568,Lists!$U$2:$U$14,Lists!$T$2:$T$14),""))</f>
        <v/>
      </c>
      <c r="C568" s="19"/>
      <c r="D568" s="19"/>
      <c r="E568" s="18" t="str">
        <f t="shared" si="1"/>
        <v/>
      </c>
      <c r="F568" s="19"/>
      <c r="G568" s="23"/>
      <c r="H568" s="19"/>
      <c r="I568" s="19"/>
      <c r="J568" s="19"/>
      <c r="K568" s="19"/>
      <c r="L568" s="30" t="str">
        <f>IFERROR(IF(K568="","",VLOOKUP(K568,Lists!$K$2:$O$61,5,FALSE)),"")</f>
        <v/>
      </c>
      <c r="M568" s="18" t="str">
        <f>IFERROR(IF(K568="","",VLOOKUP(K568,Lists!$K$2:$O$61,2,FALSE)),"")</f>
        <v/>
      </c>
      <c r="N568" s="18" t="str">
        <f>IFERROR(IF(K568="","",VLOOKUP(K568,Lists!$K$2:$O$61,3,FALSE)),"")</f>
        <v/>
      </c>
      <c r="O568" s="19"/>
      <c r="P568" s="31"/>
      <c r="Q568" s="32"/>
      <c r="R568" s="27"/>
    </row>
    <row r="569" ht="13.5" customHeight="1">
      <c r="A569" s="14"/>
      <c r="B569" s="18" t="str">
        <f>IF(A569="","",IFERROR(LOOKUP(A569,Lists!$U$2:$U$14,Lists!$T$2:$T$14),""))</f>
        <v/>
      </c>
      <c r="C569" s="19"/>
      <c r="D569" s="19"/>
      <c r="E569" s="18" t="str">
        <f t="shared" si="1"/>
        <v/>
      </c>
      <c r="F569" s="19"/>
      <c r="G569" s="23"/>
      <c r="H569" s="19"/>
      <c r="I569" s="19"/>
      <c r="J569" s="19"/>
      <c r="K569" s="19"/>
      <c r="L569" s="30" t="str">
        <f>IFERROR(IF(K569="","",VLOOKUP(K569,Lists!$K$2:$O$61,5,FALSE)),"")</f>
        <v/>
      </c>
      <c r="M569" s="18" t="str">
        <f>IFERROR(IF(K569="","",VLOOKUP(K569,Lists!$K$2:$O$61,2,FALSE)),"")</f>
        <v/>
      </c>
      <c r="N569" s="18" t="str">
        <f>IFERROR(IF(K569="","",VLOOKUP(K569,Lists!$K$2:$O$61,3,FALSE)),"")</f>
        <v/>
      </c>
      <c r="O569" s="19"/>
      <c r="P569" s="31"/>
      <c r="Q569" s="32"/>
      <c r="R569" s="27"/>
    </row>
    <row r="570" ht="13.5" customHeight="1">
      <c r="A570" s="14"/>
      <c r="B570" s="18" t="str">
        <f>IF(A570="","",IFERROR(LOOKUP(A570,Lists!$U$2:$U$14,Lists!$T$2:$T$14),""))</f>
        <v/>
      </c>
      <c r="C570" s="19"/>
      <c r="D570" s="19"/>
      <c r="E570" s="18" t="str">
        <f t="shared" si="1"/>
        <v/>
      </c>
      <c r="F570" s="19"/>
      <c r="G570" s="23"/>
      <c r="H570" s="19"/>
      <c r="I570" s="19"/>
      <c r="J570" s="19"/>
      <c r="K570" s="19"/>
      <c r="L570" s="30" t="str">
        <f>IFERROR(IF(K570="","",VLOOKUP(K570,Lists!$K$2:$O$61,5,FALSE)),"")</f>
        <v/>
      </c>
      <c r="M570" s="18" t="str">
        <f>IFERROR(IF(K570="","",VLOOKUP(K570,Lists!$K$2:$O$61,2,FALSE)),"")</f>
        <v/>
      </c>
      <c r="N570" s="18" t="str">
        <f>IFERROR(IF(K570="","",VLOOKUP(K570,Lists!$K$2:$O$61,3,FALSE)),"")</f>
        <v/>
      </c>
      <c r="O570" s="19"/>
      <c r="P570" s="31"/>
      <c r="Q570" s="32"/>
      <c r="R570" s="27"/>
    </row>
    <row r="571" ht="13.5" customHeight="1">
      <c r="A571" s="14"/>
      <c r="B571" s="18" t="str">
        <f>IF(A571="","",IFERROR(LOOKUP(A571,Lists!$U$2:$U$14,Lists!$T$2:$T$14),""))</f>
        <v/>
      </c>
      <c r="C571" s="19"/>
      <c r="D571" s="19"/>
      <c r="E571" s="18" t="str">
        <f t="shared" si="1"/>
        <v/>
      </c>
      <c r="F571" s="19"/>
      <c r="G571" s="23"/>
      <c r="H571" s="19"/>
      <c r="I571" s="19"/>
      <c r="J571" s="19"/>
      <c r="K571" s="19"/>
      <c r="L571" s="30" t="str">
        <f>IFERROR(IF(K571="","",VLOOKUP(K571,Lists!$K$2:$O$61,5,FALSE)),"")</f>
        <v/>
      </c>
      <c r="M571" s="18" t="str">
        <f>IFERROR(IF(K571="","",VLOOKUP(K571,Lists!$K$2:$O$61,2,FALSE)),"")</f>
        <v/>
      </c>
      <c r="N571" s="18" t="str">
        <f>IFERROR(IF(K571="","",VLOOKUP(K571,Lists!$K$2:$O$61,3,FALSE)),"")</f>
        <v/>
      </c>
      <c r="O571" s="19"/>
      <c r="P571" s="31"/>
      <c r="Q571" s="32"/>
      <c r="R571" s="27"/>
    </row>
    <row r="572" ht="13.5" customHeight="1">
      <c r="A572" s="14"/>
      <c r="B572" s="18" t="str">
        <f>IF(A572="","",IFERROR(LOOKUP(A572,Lists!$U$2:$U$14,Lists!$T$2:$T$14),""))</f>
        <v/>
      </c>
      <c r="C572" s="19"/>
      <c r="D572" s="19"/>
      <c r="E572" s="18" t="str">
        <f t="shared" si="1"/>
        <v/>
      </c>
      <c r="F572" s="19"/>
      <c r="G572" s="23"/>
      <c r="H572" s="19"/>
      <c r="I572" s="19"/>
      <c r="J572" s="19"/>
      <c r="K572" s="19"/>
      <c r="L572" s="30" t="str">
        <f>IFERROR(IF(K572="","",VLOOKUP(K572,Lists!$K$2:$O$61,5,FALSE)),"")</f>
        <v/>
      </c>
      <c r="M572" s="18" t="str">
        <f>IFERROR(IF(K572="","",VLOOKUP(K572,Lists!$K$2:$O$61,2,FALSE)),"")</f>
        <v/>
      </c>
      <c r="N572" s="18" t="str">
        <f>IFERROR(IF(K572="","",VLOOKUP(K572,Lists!$K$2:$O$61,3,FALSE)),"")</f>
        <v/>
      </c>
      <c r="O572" s="19"/>
      <c r="P572" s="31"/>
      <c r="Q572" s="32"/>
      <c r="R572" s="27"/>
    </row>
    <row r="573" ht="13.5" customHeight="1">
      <c r="A573" s="14"/>
      <c r="B573" s="18" t="str">
        <f>IF(A573="","",IFERROR(LOOKUP(A573,Lists!$U$2:$U$14,Lists!$T$2:$T$14),""))</f>
        <v/>
      </c>
      <c r="C573" s="19"/>
      <c r="D573" s="19"/>
      <c r="E573" s="18" t="str">
        <f t="shared" si="1"/>
        <v/>
      </c>
      <c r="F573" s="19"/>
      <c r="G573" s="23"/>
      <c r="H573" s="19"/>
      <c r="I573" s="19"/>
      <c r="J573" s="19"/>
      <c r="K573" s="19"/>
      <c r="L573" s="30" t="str">
        <f>IFERROR(IF(K573="","",VLOOKUP(K573,Lists!$K$2:$O$61,5,FALSE)),"")</f>
        <v/>
      </c>
      <c r="M573" s="18" t="str">
        <f>IFERROR(IF(K573="","",VLOOKUP(K573,Lists!$K$2:$O$61,2,FALSE)),"")</f>
        <v/>
      </c>
      <c r="N573" s="18" t="str">
        <f>IFERROR(IF(K573="","",VLOOKUP(K573,Lists!$K$2:$O$61,3,FALSE)),"")</f>
        <v/>
      </c>
      <c r="O573" s="19"/>
      <c r="P573" s="31"/>
      <c r="Q573" s="32"/>
      <c r="R573" s="27"/>
    </row>
    <row r="574" ht="13.5" customHeight="1">
      <c r="A574" s="14"/>
      <c r="B574" s="18" t="str">
        <f>IF(A574="","",IFERROR(LOOKUP(A574,Lists!$U$2:$U$14,Lists!$T$2:$T$14),""))</f>
        <v/>
      </c>
      <c r="C574" s="19"/>
      <c r="D574" s="19"/>
      <c r="E574" s="18" t="str">
        <f t="shared" si="1"/>
        <v/>
      </c>
      <c r="F574" s="19"/>
      <c r="G574" s="23"/>
      <c r="H574" s="19"/>
      <c r="I574" s="19"/>
      <c r="J574" s="19"/>
      <c r="K574" s="19"/>
      <c r="L574" s="30" t="str">
        <f>IFERROR(IF(K574="","",VLOOKUP(K574,Lists!$K$2:$O$61,5,FALSE)),"")</f>
        <v/>
      </c>
      <c r="M574" s="18" t="str">
        <f>IFERROR(IF(K574="","",VLOOKUP(K574,Lists!$K$2:$O$61,2,FALSE)),"")</f>
        <v/>
      </c>
      <c r="N574" s="18" t="str">
        <f>IFERROR(IF(K574="","",VLOOKUP(K574,Lists!$K$2:$O$61,3,FALSE)),"")</f>
        <v/>
      </c>
      <c r="O574" s="19"/>
      <c r="P574" s="31"/>
      <c r="Q574" s="32"/>
      <c r="R574" s="27"/>
    </row>
    <row r="575" ht="13.5" customHeight="1">
      <c r="A575" s="14"/>
      <c r="B575" s="18" t="str">
        <f>IF(A575="","",IFERROR(LOOKUP(A575,Lists!$U$2:$U$14,Lists!$T$2:$T$14),""))</f>
        <v/>
      </c>
      <c r="C575" s="19"/>
      <c r="D575" s="19"/>
      <c r="E575" s="18" t="str">
        <f t="shared" si="1"/>
        <v/>
      </c>
      <c r="F575" s="19"/>
      <c r="G575" s="23"/>
      <c r="H575" s="19"/>
      <c r="I575" s="19"/>
      <c r="J575" s="19"/>
      <c r="K575" s="19"/>
      <c r="L575" s="30" t="str">
        <f>IFERROR(IF(K575="","",VLOOKUP(K575,Lists!$K$2:$O$61,5,FALSE)),"")</f>
        <v/>
      </c>
      <c r="M575" s="18" t="str">
        <f>IFERROR(IF(K575="","",VLOOKUP(K575,Lists!$K$2:$O$61,2,FALSE)),"")</f>
        <v/>
      </c>
      <c r="N575" s="18" t="str">
        <f>IFERROR(IF(K575="","",VLOOKUP(K575,Lists!$K$2:$O$61,3,FALSE)),"")</f>
        <v/>
      </c>
      <c r="O575" s="19"/>
      <c r="P575" s="31"/>
      <c r="Q575" s="32"/>
      <c r="R575" s="27"/>
    </row>
    <row r="576" ht="13.5" customHeight="1">
      <c r="A576" s="14"/>
      <c r="B576" s="18" t="str">
        <f>IF(A576="","",IFERROR(LOOKUP(A576,Lists!$U$2:$U$14,Lists!$T$2:$T$14),""))</f>
        <v/>
      </c>
      <c r="C576" s="19"/>
      <c r="D576" s="19"/>
      <c r="E576" s="18" t="str">
        <f t="shared" si="1"/>
        <v/>
      </c>
      <c r="F576" s="19"/>
      <c r="G576" s="23"/>
      <c r="H576" s="19"/>
      <c r="I576" s="19"/>
      <c r="J576" s="19"/>
      <c r="K576" s="19"/>
      <c r="L576" s="30" t="str">
        <f>IFERROR(IF(K576="","",VLOOKUP(K576,Lists!$K$2:$O$61,5,FALSE)),"")</f>
        <v/>
      </c>
      <c r="M576" s="18" t="str">
        <f>IFERROR(IF(K576="","",VLOOKUP(K576,Lists!$K$2:$O$61,2,FALSE)),"")</f>
        <v/>
      </c>
      <c r="N576" s="18" t="str">
        <f>IFERROR(IF(K576="","",VLOOKUP(K576,Lists!$K$2:$O$61,3,FALSE)),"")</f>
        <v/>
      </c>
      <c r="O576" s="19"/>
      <c r="P576" s="31"/>
      <c r="Q576" s="32"/>
      <c r="R576" s="27"/>
    </row>
    <row r="577" ht="13.5" customHeight="1">
      <c r="A577" s="14"/>
      <c r="B577" s="18" t="str">
        <f>IF(A577="","",IFERROR(LOOKUP(A577,Lists!$U$2:$U$14,Lists!$T$2:$T$14),""))</f>
        <v/>
      </c>
      <c r="C577" s="19"/>
      <c r="D577" s="19"/>
      <c r="E577" s="18" t="str">
        <f t="shared" si="1"/>
        <v/>
      </c>
      <c r="F577" s="19"/>
      <c r="G577" s="23"/>
      <c r="H577" s="19"/>
      <c r="I577" s="19"/>
      <c r="J577" s="19"/>
      <c r="K577" s="19"/>
      <c r="L577" s="30" t="str">
        <f>IFERROR(IF(K577="","",VLOOKUP(K577,Lists!$K$2:$O$61,5,FALSE)),"")</f>
        <v/>
      </c>
      <c r="M577" s="18" t="str">
        <f>IFERROR(IF(K577="","",VLOOKUP(K577,Lists!$K$2:$O$61,2,FALSE)),"")</f>
        <v/>
      </c>
      <c r="N577" s="18" t="str">
        <f>IFERROR(IF(K577="","",VLOOKUP(K577,Lists!$K$2:$O$61,3,FALSE)),"")</f>
        <v/>
      </c>
      <c r="O577" s="19"/>
      <c r="P577" s="31"/>
      <c r="Q577" s="32"/>
      <c r="R577" s="27"/>
    </row>
    <row r="578" ht="13.5" customHeight="1">
      <c r="A578" s="14"/>
      <c r="B578" s="18" t="str">
        <f>IF(A578="","",IFERROR(LOOKUP(A578,Lists!$U$2:$U$14,Lists!$T$2:$T$14),""))</f>
        <v/>
      </c>
      <c r="C578" s="19"/>
      <c r="D578" s="19"/>
      <c r="E578" s="18" t="str">
        <f t="shared" si="1"/>
        <v/>
      </c>
      <c r="F578" s="19"/>
      <c r="G578" s="23"/>
      <c r="H578" s="19"/>
      <c r="I578" s="19"/>
      <c r="J578" s="19"/>
      <c r="K578" s="19"/>
      <c r="L578" s="30" t="str">
        <f>IFERROR(IF(K578="","",VLOOKUP(K578,Lists!$K$2:$O$61,5,FALSE)),"")</f>
        <v/>
      </c>
      <c r="M578" s="18" t="str">
        <f>IFERROR(IF(K578="","",VLOOKUP(K578,Lists!$K$2:$O$61,2,FALSE)),"")</f>
        <v/>
      </c>
      <c r="N578" s="18" t="str">
        <f>IFERROR(IF(K578="","",VLOOKUP(K578,Lists!$K$2:$O$61,3,FALSE)),"")</f>
        <v/>
      </c>
      <c r="O578" s="19"/>
      <c r="P578" s="31"/>
      <c r="Q578" s="32"/>
      <c r="R578" s="27"/>
    </row>
    <row r="579" ht="13.5" customHeight="1">
      <c r="A579" s="14"/>
      <c r="B579" s="18" t="str">
        <f>IF(A579="","",IFERROR(LOOKUP(A579,Lists!$U$2:$U$14,Lists!$T$2:$T$14),""))</f>
        <v/>
      </c>
      <c r="C579" s="19"/>
      <c r="D579" s="19"/>
      <c r="E579" s="18" t="str">
        <f t="shared" si="1"/>
        <v/>
      </c>
      <c r="F579" s="19"/>
      <c r="G579" s="23"/>
      <c r="H579" s="19"/>
      <c r="I579" s="19"/>
      <c r="J579" s="19"/>
      <c r="K579" s="19"/>
      <c r="L579" s="30" t="str">
        <f>IFERROR(IF(K579="","",VLOOKUP(K579,Lists!$K$2:$O$61,5,FALSE)),"")</f>
        <v/>
      </c>
      <c r="M579" s="18" t="str">
        <f>IFERROR(IF(K579="","",VLOOKUP(K579,Lists!$K$2:$O$61,2,FALSE)),"")</f>
        <v/>
      </c>
      <c r="N579" s="18" t="str">
        <f>IFERROR(IF(K579="","",VLOOKUP(K579,Lists!$K$2:$O$61,3,FALSE)),"")</f>
        <v/>
      </c>
      <c r="O579" s="19"/>
      <c r="P579" s="31"/>
      <c r="Q579" s="32"/>
      <c r="R579" s="27"/>
    </row>
    <row r="580" ht="13.5" customHeight="1">
      <c r="A580" s="14"/>
      <c r="B580" s="18" t="str">
        <f>IF(A580="","",IFERROR(LOOKUP(A580,Lists!$U$2:$U$14,Lists!$T$2:$T$14),""))</f>
        <v/>
      </c>
      <c r="C580" s="19"/>
      <c r="D580" s="19"/>
      <c r="E580" s="18" t="str">
        <f t="shared" si="1"/>
        <v/>
      </c>
      <c r="F580" s="19"/>
      <c r="G580" s="23"/>
      <c r="H580" s="19"/>
      <c r="I580" s="19"/>
      <c r="J580" s="19"/>
      <c r="K580" s="19"/>
      <c r="L580" s="30" t="str">
        <f>IFERROR(IF(K580="","",VLOOKUP(K580,Lists!$K$2:$O$61,5,FALSE)),"")</f>
        <v/>
      </c>
      <c r="M580" s="18" t="str">
        <f>IFERROR(IF(K580="","",VLOOKUP(K580,Lists!$K$2:$O$61,2,FALSE)),"")</f>
        <v/>
      </c>
      <c r="N580" s="18" t="str">
        <f>IFERROR(IF(K580="","",VLOOKUP(K580,Lists!$K$2:$O$61,3,FALSE)),"")</f>
        <v/>
      </c>
      <c r="O580" s="19"/>
      <c r="P580" s="31"/>
      <c r="Q580" s="32"/>
      <c r="R580" s="27"/>
    </row>
    <row r="581" ht="13.5" customHeight="1">
      <c r="A581" s="14"/>
      <c r="B581" s="18" t="str">
        <f>IF(A581="","",IFERROR(LOOKUP(A581,Lists!$U$2:$U$14,Lists!$T$2:$T$14),""))</f>
        <v/>
      </c>
      <c r="C581" s="19"/>
      <c r="D581" s="19"/>
      <c r="E581" s="18" t="str">
        <f t="shared" si="1"/>
        <v/>
      </c>
      <c r="F581" s="19"/>
      <c r="G581" s="23"/>
      <c r="H581" s="19"/>
      <c r="I581" s="19"/>
      <c r="J581" s="19"/>
      <c r="K581" s="19"/>
      <c r="L581" s="30" t="str">
        <f>IFERROR(IF(K581="","",VLOOKUP(K581,Lists!$K$2:$O$61,5,FALSE)),"")</f>
        <v/>
      </c>
      <c r="M581" s="18" t="str">
        <f>IFERROR(IF(K581="","",VLOOKUP(K581,Lists!$K$2:$O$61,2,FALSE)),"")</f>
        <v/>
      </c>
      <c r="N581" s="18" t="str">
        <f>IFERROR(IF(K581="","",VLOOKUP(K581,Lists!$K$2:$O$61,3,FALSE)),"")</f>
        <v/>
      </c>
      <c r="O581" s="19"/>
      <c r="P581" s="31"/>
      <c r="Q581" s="32"/>
      <c r="R581" s="27"/>
    </row>
    <row r="582" ht="13.5" customHeight="1">
      <c r="A582" s="14"/>
      <c r="B582" s="18" t="str">
        <f>IF(A582="","",IFERROR(LOOKUP(A582,Lists!$U$2:$U$14,Lists!$T$2:$T$14),""))</f>
        <v/>
      </c>
      <c r="C582" s="19"/>
      <c r="D582" s="19"/>
      <c r="E582" s="18" t="str">
        <f t="shared" si="1"/>
        <v/>
      </c>
      <c r="F582" s="19"/>
      <c r="G582" s="23"/>
      <c r="H582" s="19"/>
      <c r="I582" s="19"/>
      <c r="J582" s="19"/>
      <c r="K582" s="19"/>
      <c r="L582" s="30" t="str">
        <f>IFERROR(IF(K582="","",VLOOKUP(K582,Lists!$K$2:$O$61,5,FALSE)),"")</f>
        <v/>
      </c>
      <c r="M582" s="18" t="str">
        <f>IFERROR(IF(K582="","",VLOOKUP(K582,Lists!$K$2:$O$61,2,FALSE)),"")</f>
        <v/>
      </c>
      <c r="N582" s="18" t="str">
        <f>IFERROR(IF(K582="","",VLOOKUP(K582,Lists!$K$2:$O$61,3,FALSE)),"")</f>
        <v/>
      </c>
      <c r="O582" s="19"/>
      <c r="P582" s="31"/>
      <c r="Q582" s="32"/>
      <c r="R582" s="27"/>
    </row>
    <row r="583" ht="13.5" customHeight="1">
      <c r="A583" s="14"/>
      <c r="B583" s="18" t="str">
        <f>IF(A583="","",IFERROR(LOOKUP(A583,Lists!$U$2:$U$14,Lists!$T$2:$T$14),""))</f>
        <v/>
      </c>
      <c r="C583" s="19"/>
      <c r="D583" s="19"/>
      <c r="E583" s="18" t="str">
        <f t="shared" si="1"/>
        <v/>
      </c>
      <c r="F583" s="19"/>
      <c r="G583" s="23"/>
      <c r="H583" s="19"/>
      <c r="I583" s="19"/>
      <c r="J583" s="19"/>
      <c r="K583" s="19"/>
      <c r="L583" s="30" t="str">
        <f>IFERROR(IF(K583="","",VLOOKUP(K583,Lists!$K$2:$O$61,5,FALSE)),"")</f>
        <v/>
      </c>
      <c r="M583" s="18" t="str">
        <f>IFERROR(IF(K583="","",VLOOKUP(K583,Lists!$K$2:$O$61,2,FALSE)),"")</f>
        <v/>
      </c>
      <c r="N583" s="18" t="str">
        <f>IFERROR(IF(K583="","",VLOOKUP(K583,Lists!$K$2:$O$61,3,FALSE)),"")</f>
        <v/>
      </c>
      <c r="O583" s="19"/>
      <c r="P583" s="31"/>
      <c r="Q583" s="32"/>
      <c r="R583" s="27"/>
    </row>
    <row r="584" ht="13.5" customHeight="1">
      <c r="A584" s="14"/>
      <c r="B584" s="18" t="str">
        <f>IF(A584="","",IFERROR(LOOKUP(A584,Lists!$U$2:$U$14,Lists!$T$2:$T$14),""))</f>
        <v/>
      </c>
      <c r="C584" s="19"/>
      <c r="D584" s="19"/>
      <c r="E584" s="18" t="str">
        <f t="shared" si="1"/>
        <v/>
      </c>
      <c r="F584" s="19"/>
      <c r="G584" s="23"/>
      <c r="H584" s="19"/>
      <c r="I584" s="19"/>
      <c r="J584" s="19"/>
      <c r="K584" s="19"/>
      <c r="L584" s="30" t="str">
        <f>IFERROR(IF(K584="","",VLOOKUP(K584,Lists!$K$2:$O$61,5,FALSE)),"")</f>
        <v/>
      </c>
      <c r="M584" s="18" t="str">
        <f>IFERROR(IF(K584="","",VLOOKUP(K584,Lists!$K$2:$O$61,2,FALSE)),"")</f>
        <v/>
      </c>
      <c r="N584" s="18" t="str">
        <f>IFERROR(IF(K584="","",VLOOKUP(K584,Lists!$K$2:$O$61,3,FALSE)),"")</f>
        <v/>
      </c>
      <c r="O584" s="19"/>
      <c r="P584" s="31"/>
      <c r="Q584" s="32"/>
      <c r="R584" s="27"/>
    </row>
    <row r="585" ht="13.5" customHeight="1">
      <c r="A585" s="14"/>
      <c r="B585" s="18" t="str">
        <f>IF(A585="","",IFERROR(LOOKUP(A585,Lists!$U$2:$U$14,Lists!$T$2:$T$14),""))</f>
        <v/>
      </c>
      <c r="C585" s="19"/>
      <c r="D585" s="19"/>
      <c r="E585" s="18" t="str">
        <f t="shared" si="1"/>
        <v/>
      </c>
      <c r="F585" s="19"/>
      <c r="G585" s="23"/>
      <c r="H585" s="19"/>
      <c r="I585" s="19"/>
      <c r="J585" s="19"/>
      <c r="K585" s="19"/>
      <c r="L585" s="30" t="str">
        <f>IFERROR(IF(K585="","",VLOOKUP(K585,Lists!$K$2:$O$61,5,FALSE)),"")</f>
        <v/>
      </c>
      <c r="M585" s="18" t="str">
        <f>IFERROR(IF(K585="","",VLOOKUP(K585,Lists!$K$2:$O$61,2,FALSE)),"")</f>
        <v/>
      </c>
      <c r="N585" s="18" t="str">
        <f>IFERROR(IF(K585="","",VLOOKUP(K585,Lists!$K$2:$O$61,3,FALSE)),"")</f>
        <v/>
      </c>
      <c r="O585" s="19"/>
      <c r="P585" s="31"/>
      <c r="Q585" s="32"/>
      <c r="R585" s="27"/>
    </row>
    <row r="586" ht="13.5" customHeight="1">
      <c r="A586" s="14"/>
      <c r="B586" s="18" t="str">
        <f>IF(A586="","",IFERROR(LOOKUP(A586,Lists!$U$2:$U$14,Lists!$T$2:$T$14),""))</f>
        <v/>
      </c>
      <c r="C586" s="19"/>
      <c r="D586" s="19"/>
      <c r="E586" s="18" t="str">
        <f t="shared" si="1"/>
        <v/>
      </c>
      <c r="F586" s="19"/>
      <c r="G586" s="23"/>
      <c r="H586" s="19"/>
      <c r="I586" s="19"/>
      <c r="J586" s="19"/>
      <c r="K586" s="19"/>
      <c r="L586" s="30" t="str">
        <f>IFERROR(IF(K586="","",VLOOKUP(K586,Lists!$K$2:$O$61,5,FALSE)),"")</f>
        <v/>
      </c>
      <c r="M586" s="18" t="str">
        <f>IFERROR(IF(K586="","",VLOOKUP(K586,Lists!$K$2:$O$61,2,FALSE)),"")</f>
        <v/>
      </c>
      <c r="N586" s="18" t="str">
        <f>IFERROR(IF(K586="","",VLOOKUP(K586,Lists!$K$2:$O$61,3,FALSE)),"")</f>
        <v/>
      </c>
      <c r="O586" s="19"/>
      <c r="P586" s="31"/>
      <c r="Q586" s="32"/>
      <c r="R586" s="27"/>
    </row>
    <row r="587" ht="13.5" customHeight="1">
      <c r="A587" s="14"/>
      <c r="B587" s="18" t="str">
        <f>IF(A587="","",IFERROR(LOOKUP(A587,Lists!$U$2:$U$14,Lists!$T$2:$T$14),""))</f>
        <v/>
      </c>
      <c r="C587" s="19"/>
      <c r="D587" s="19"/>
      <c r="E587" s="18" t="str">
        <f t="shared" si="1"/>
        <v/>
      </c>
      <c r="F587" s="19"/>
      <c r="G587" s="23"/>
      <c r="H587" s="19"/>
      <c r="I587" s="19"/>
      <c r="J587" s="19"/>
      <c r="K587" s="19"/>
      <c r="L587" s="30" t="str">
        <f>IFERROR(IF(K587="","",VLOOKUP(K587,Lists!$K$2:$O$61,5,FALSE)),"")</f>
        <v/>
      </c>
      <c r="M587" s="18" t="str">
        <f>IFERROR(IF(K587="","",VLOOKUP(K587,Lists!$K$2:$O$61,2,FALSE)),"")</f>
        <v/>
      </c>
      <c r="N587" s="18" t="str">
        <f>IFERROR(IF(K587="","",VLOOKUP(K587,Lists!$K$2:$O$61,3,FALSE)),"")</f>
        <v/>
      </c>
      <c r="O587" s="19"/>
      <c r="P587" s="31"/>
      <c r="Q587" s="32"/>
      <c r="R587" s="27"/>
    </row>
    <row r="588" ht="13.5" customHeight="1">
      <c r="A588" s="14"/>
      <c r="B588" s="18" t="str">
        <f>IF(A588="","",IFERROR(LOOKUP(A588,Lists!$U$2:$U$14,Lists!$T$2:$T$14),""))</f>
        <v/>
      </c>
      <c r="C588" s="19"/>
      <c r="D588" s="19"/>
      <c r="E588" s="18" t="str">
        <f t="shared" si="1"/>
        <v/>
      </c>
      <c r="F588" s="19"/>
      <c r="G588" s="23"/>
      <c r="H588" s="19"/>
      <c r="I588" s="19"/>
      <c r="J588" s="19"/>
      <c r="K588" s="19"/>
      <c r="L588" s="30" t="str">
        <f>IFERROR(IF(K588="","",VLOOKUP(K588,Lists!$K$2:$O$61,5,FALSE)),"")</f>
        <v/>
      </c>
      <c r="M588" s="18" t="str">
        <f>IFERROR(IF(K588="","",VLOOKUP(K588,Lists!$K$2:$O$61,2,FALSE)),"")</f>
        <v/>
      </c>
      <c r="N588" s="18" t="str">
        <f>IFERROR(IF(K588="","",VLOOKUP(K588,Lists!$K$2:$O$61,3,FALSE)),"")</f>
        <v/>
      </c>
      <c r="O588" s="19"/>
      <c r="P588" s="31"/>
      <c r="Q588" s="32"/>
      <c r="R588" s="27"/>
    </row>
    <row r="589" ht="13.5" customHeight="1">
      <c r="A589" s="14"/>
      <c r="B589" s="18" t="str">
        <f>IF(A589="","",IFERROR(LOOKUP(A589,Lists!$U$2:$U$14,Lists!$T$2:$T$14),""))</f>
        <v/>
      </c>
      <c r="C589" s="19"/>
      <c r="D589" s="19"/>
      <c r="E589" s="18" t="str">
        <f t="shared" si="1"/>
        <v/>
      </c>
      <c r="F589" s="19"/>
      <c r="G589" s="23"/>
      <c r="H589" s="19"/>
      <c r="I589" s="19"/>
      <c r="J589" s="19"/>
      <c r="K589" s="19"/>
      <c r="L589" s="30" t="str">
        <f>IFERROR(IF(K589="","",VLOOKUP(K589,Lists!$K$2:$O$61,5,FALSE)),"")</f>
        <v/>
      </c>
      <c r="M589" s="18" t="str">
        <f>IFERROR(IF(K589="","",VLOOKUP(K589,Lists!$K$2:$O$61,2,FALSE)),"")</f>
        <v/>
      </c>
      <c r="N589" s="18" t="str">
        <f>IFERROR(IF(K589="","",VLOOKUP(K589,Lists!$K$2:$O$61,3,FALSE)),"")</f>
        <v/>
      </c>
      <c r="O589" s="19"/>
      <c r="P589" s="31"/>
      <c r="Q589" s="32"/>
      <c r="R589" s="27"/>
    </row>
    <row r="590" ht="13.5" customHeight="1">
      <c r="A590" s="14"/>
      <c r="B590" s="18" t="str">
        <f>IF(A590="","",IFERROR(LOOKUP(A590,Lists!$U$2:$U$14,Lists!$T$2:$T$14),""))</f>
        <v/>
      </c>
      <c r="C590" s="19"/>
      <c r="D590" s="19"/>
      <c r="E590" s="18" t="str">
        <f t="shared" si="1"/>
        <v/>
      </c>
      <c r="F590" s="19"/>
      <c r="G590" s="23"/>
      <c r="H590" s="19"/>
      <c r="I590" s="19"/>
      <c r="J590" s="19"/>
      <c r="K590" s="19"/>
      <c r="L590" s="30" t="str">
        <f>IFERROR(IF(K590="","",VLOOKUP(K590,Lists!$K$2:$O$61,5,FALSE)),"")</f>
        <v/>
      </c>
      <c r="M590" s="18" t="str">
        <f>IFERROR(IF(K590="","",VLOOKUP(K590,Lists!$K$2:$O$61,2,FALSE)),"")</f>
        <v/>
      </c>
      <c r="N590" s="18" t="str">
        <f>IFERROR(IF(K590="","",VLOOKUP(K590,Lists!$K$2:$O$61,3,FALSE)),"")</f>
        <v/>
      </c>
      <c r="O590" s="19"/>
      <c r="P590" s="31"/>
      <c r="Q590" s="32"/>
      <c r="R590" s="27"/>
    </row>
    <row r="591" ht="13.5" customHeight="1">
      <c r="A591" s="14"/>
      <c r="B591" s="18" t="str">
        <f>IF(A591="","",IFERROR(LOOKUP(A591,Lists!$U$2:$U$14,Lists!$T$2:$T$14),""))</f>
        <v/>
      </c>
      <c r="C591" s="19"/>
      <c r="D591" s="19"/>
      <c r="E591" s="18" t="str">
        <f t="shared" si="1"/>
        <v/>
      </c>
      <c r="F591" s="19"/>
      <c r="G591" s="23"/>
      <c r="H591" s="19"/>
      <c r="I591" s="19"/>
      <c r="J591" s="19"/>
      <c r="K591" s="19"/>
      <c r="L591" s="30" t="str">
        <f>IFERROR(IF(K591="","",VLOOKUP(K591,Lists!$K$2:$O$61,5,FALSE)),"")</f>
        <v/>
      </c>
      <c r="M591" s="18" t="str">
        <f>IFERROR(IF(K591="","",VLOOKUP(K591,Lists!$K$2:$O$61,2,FALSE)),"")</f>
        <v/>
      </c>
      <c r="N591" s="18" t="str">
        <f>IFERROR(IF(K591="","",VLOOKUP(K591,Lists!$K$2:$O$61,3,FALSE)),"")</f>
        <v/>
      </c>
      <c r="O591" s="19"/>
      <c r="P591" s="31"/>
      <c r="Q591" s="32"/>
      <c r="R591" s="27"/>
    </row>
    <row r="592" ht="13.5" customHeight="1">
      <c r="A592" s="14"/>
      <c r="B592" s="18" t="str">
        <f>IF(A592="","",IFERROR(LOOKUP(A592,Lists!$U$2:$U$14,Lists!$T$2:$T$14),""))</f>
        <v/>
      </c>
      <c r="C592" s="19"/>
      <c r="D592" s="19"/>
      <c r="E592" s="18" t="str">
        <f t="shared" si="1"/>
        <v/>
      </c>
      <c r="F592" s="19"/>
      <c r="G592" s="23"/>
      <c r="H592" s="19"/>
      <c r="I592" s="19"/>
      <c r="J592" s="19"/>
      <c r="K592" s="19"/>
      <c r="L592" s="30" t="str">
        <f>IFERROR(IF(K592="","",VLOOKUP(K592,Lists!$K$2:$O$61,5,FALSE)),"")</f>
        <v/>
      </c>
      <c r="M592" s="18" t="str">
        <f>IFERROR(IF(K592="","",VLOOKUP(K592,Lists!$K$2:$O$61,2,FALSE)),"")</f>
        <v/>
      </c>
      <c r="N592" s="18" t="str">
        <f>IFERROR(IF(K592="","",VLOOKUP(K592,Lists!$K$2:$O$61,3,FALSE)),"")</f>
        <v/>
      </c>
      <c r="O592" s="19"/>
      <c r="P592" s="31"/>
      <c r="Q592" s="32"/>
      <c r="R592" s="27"/>
    </row>
    <row r="593" ht="13.5" customHeight="1">
      <c r="A593" s="14"/>
      <c r="B593" s="18" t="str">
        <f>IF(A593="","",IFERROR(LOOKUP(A593,Lists!$U$2:$U$14,Lists!$T$2:$T$14),""))</f>
        <v/>
      </c>
      <c r="C593" s="19"/>
      <c r="D593" s="19"/>
      <c r="E593" s="18" t="str">
        <f t="shared" si="1"/>
        <v/>
      </c>
      <c r="F593" s="19"/>
      <c r="G593" s="23"/>
      <c r="H593" s="19"/>
      <c r="I593" s="19"/>
      <c r="J593" s="19"/>
      <c r="K593" s="19"/>
      <c r="L593" s="30" t="str">
        <f>IFERROR(IF(K593="","",VLOOKUP(K593,Lists!$K$2:$O$61,5,FALSE)),"")</f>
        <v/>
      </c>
      <c r="M593" s="18" t="str">
        <f>IFERROR(IF(K593="","",VLOOKUP(K593,Lists!$K$2:$O$61,2,FALSE)),"")</f>
        <v/>
      </c>
      <c r="N593" s="18" t="str">
        <f>IFERROR(IF(K593="","",VLOOKUP(K593,Lists!$K$2:$O$61,3,FALSE)),"")</f>
        <v/>
      </c>
      <c r="O593" s="19"/>
      <c r="P593" s="31"/>
      <c r="Q593" s="32"/>
      <c r="R593" s="27"/>
    </row>
    <row r="594" ht="13.5" customHeight="1">
      <c r="A594" s="14"/>
      <c r="B594" s="18" t="str">
        <f>IF(A594="","",IFERROR(LOOKUP(A594,Lists!$U$2:$U$14,Lists!$T$2:$T$14),""))</f>
        <v/>
      </c>
      <c r="C594" s="19"/>
      <c r="D594" s="19"/>
      <c r="E594" s="18" t="str">
        <f t="shared" si="1"/>
        <v/>
      </c>
      <c r="F594" s="19"/>
      <c r="G594" s="23"/>
      <c r="H594" s="19"/>
      <c r="I594" s="19"/>
      <c r="J594" s="19"/>
      <c r="K594" s="19"/>
      <c r="L594" s="30" t="str">
        <f>IFERROR(IF(K594="","",VLOOKUP(K594,Lists!$K$2:$O$61,5,FALSE)),"")</f>
        <v/>
      </c>
      <c r="M594" s="18" t="str">
        <f>IFERROR(IF(K594="","",VLOOKUP(K594,Lists!$K$2:$O$61,2,FALSE)),"")</f>
        <v/>
      </c>
      <c r="N594" s="18" t="str">
        <f>IFERROR(IF(K594="","",VLOOKUP(K594,Lists!$K$2:$O$61,3,FALSE)),"")</f>
        <v/>
      </c>
      <c r="O594" s="19"/>
      <c r="P594" s="31"/>
      <c r="Q594" s="32"/>
      <c r="R594" s="27"/>
    </row>
    <row r="595" ht="13.5" customHeight="1">
      <c r="A595" s="14"/>
      <c r="B595" s="18" t="str">
        <f>IF(A595="","",IFERROR(LOOKUP(A595,Lists!$U$2:$U$14,Lists!$T$2:$T$14),""))</f>
        <v/>
      </c>
      <c r="C595" s="19"/>
      <c r="D595" s="19"/>
      <c r="E595" s="18" t="str">
        <f t="shared" si="1"/>
        <v/>
      </c>
      <c r="F595" s="19"/>
      <c r="G595" s="23"/>
      <c r="H595" s="19"/>
      <c r="I595" s="19"/>
      <c r="J595" s="19"/>
      <c r="K595" s="19"/>
      <c r="L595" s="30" t="str">
        <f>IFERROR(IF(K595="","",VLOOKUP(K595,Lists!$K$2:$O$61,5,FALSE)),"")</f>
        <v/>
      </c>
      <c r="M595" s="18" t="str">
        <f>IFERROR(IF(K595="","",VLOOKUP(K595,Lists!$K$2:$O$61,2,FALSE)),"")</f>
        <v/>
      </c>
      <c r="N595" s="18" t="str">
        <f>IFERROR(IF(K595="","",VLOOKUP(K595,Lists!$K$2:$O$61,3,FALSE)),"")</f>
        <v/>
      </c>
      <c r="O595" s="19"/>
      <c r="P595" s="31"/>
      <c r="Q595" s="32"/>
      <c r="R595" s="27"/>
    </row>
    <row r="596" ht="13.5" customHeight="1">
      <c r="A596" s="14"/>
      <c r="B596" s="18" t="str">
        <f>IF(A596="","",IFERROR(LOOKUP(A596,Lists!$U$2:$U$14,Lists!$T$2:$T$14),""))</f>
        <v/>
      </c>
      <c r="C596" s="19"/>
      <c r="D596" s="19"/>
      <c r="E596" s="18" t="str">
        <f t="shared" si="1"/>
        <v/>
      </c>
      <c r="F596" s="19"/>
      <c r="G596" s="23"/>
      <c r="H596" s="19"/>
      <c r="I596" s="19"/>
      <c r="J596" s="19"/>
      <c r="K596" s="19"/>
      <c r="L596" s="30" t="str">
        <f>IFERROR(IF(K596="","",VLOOKUP(K596,Lists!$K$2:$O$61,5,FALSE)),"")</f>
        <v/>
      </c>
      <c r="M596" s="18" t="str">
        <f>IFERROR(IF(K596="","",VLOOKUP(K596,Lists!$K$2:$O$61,2,FALSE)),"")</f>
        <v/>
      </c>
      <c r="N596" s="18" t="str">
        <f>IFERROR(IF(K596="","",VLOOKUP(K596,Lists!$K$2:$O$61,3,FALSE)),"")</f>
        <v/>
      </c>
      <c r="O596" s="19"/>
      <c r="P596" s="31"/>
      <c r="Q596" s="32"/>
      <c r="R596" s="27"/>
    </row>
    <row r="597" ht="13.5" customHeight="1">
      <c r="A597" s="37"/>
      <c r="B597" s="37"/>
      <c r="C597" s="37"/>
      <c r="D597" s="37"/>
      <c r="E597" s="37"/>
      <c r="F597" s="36"/>
      <c r="G597" s="37"/>
      <c r="H597" s="37"/>
      <c r="I597" s="37"/>
      <c r="J597" s="37"/>
      <c r="K597" s="36"/>
      <c r="L597" s="77"/>
      <c r="O597" s="36"/>
      <c r="P597" s="38"/>
      <c r="Q597" s="77"/>
    </row>
    <row r="598" ht="13.5" customHeight="1">
      <c r="A598" s="37"/>
      <c r="B598" s="37"/>
      <c r="C598" s="37"/>
      <c r="D598" s="37"/>
      <c r="E598" s="37"/>
      <c r="F598" s="36"/>
      <c r="G598" s="37"/>
      <c r="H598" s="37"/>
      <c r="I598" s="37"/>
      <c r="J598" s="37"/>
      <c r="K598" s="36"/>
      <c r="L598" s="77"/>
      <c r="O598" s="36"/>
      <c r="P598" s="38"/>
      <c r="Q598" s="77"/>
    </row>
    <row r="599" ht="13.5" customHeight="1">
      <c r="A599" s="37"/>
      <c r="B599" s="37"/>
      <c r="C599" s="37"/>
      <c r="D599" s="37"/>
      <c r="E599" s="37"/>
      <c r="F599" s="36"/>
      <c r="G599" s="37"/>
      <c r="H599" s="37"/>
      <c r="I599" s="37"/>
      <c r="J599" s="37"/>
      <c r="K599" s="36"/>
      <c r="L599" s="77"/>
      <c r="O599" s="36"/>
      <c r="P599" s="38"/>
      <c r="Q599" s="77"/>
    </row>
    <row r="600" ht="13.5" customHeight="1">
      <c r="A600" s="37"/>
      <c r="B600" s="37"/>
      <c r="C600" s="37"/>
      <c r="D600" s="37"/>
      <c r="E600" s="37"/>
      <c r="F600" s="36"/>
      <c r="G600" s="37"/>
      <c r="H600" s="37"/>
      <c r="I600" s="37"/>
      <c r="J600" s="37"/>
      <c r="K600" s="36"/>
      <c r="L600" s="77"/>
      <c r="O600" s="36"/>
      <c r="P600" s="38"/>
      <c r="Q600" s="77"/>
    </row>
    <row r="601" ht="13.5" customHeight="1">
      <c r="A601" s="37"/>
      <c r="B601" s="37"/>
      <c r="C601" s="37"/>
      <c r="D601" s="37"/>
      <c r="E601" s="37"/>
      <c r="F601" s="36"/>
      <c r="G601" s="37"/>
      <c r="H601" s="37"/>
      <c r="I601" s="37"/>
      <c r="J601" s="37"/>
      <c r="K601" s="36"/>
      <c r="L601" s="77"/>
      <c r="O601" s="36"/>
      <c r="P601" s="38"/>
      <c r="Q601" s="77"/>
    </row>
    <row r="602" ht="13.5" customHeight="1">
      <c r="A602" s="37"/>
      <c r="B602" s="37"/>
      <c r="C602" s="37"/>
      <c r="D602" s="37"/>
      <c r="E602" s="37"/>
      <c r="F602" s="36"/>
      <c r="G602" s="37"/>
      <c r="H602" s="37"/>
      <c r="I602" s="37"/>
      <c r="J602" s="37"/>
      <c r="K602" s="36"/>
      <c r="L602" s="77"/>
      <c r="O602" s="36"/>
      <c r="P602" s="38"/>
      <c r="Q602" s="77"/>
    </row>
    <row r="603" ht="13.5" customHeight="1">
      <c r="A603" s="37"/>
      <c r="B603" s="37"/>
      <c r="C603" s="37"/>
      <c r="D603" s="37"/>
      <c r="E603" s="37"/>
      <c r="F603" s="36"/>
      <c r="G603" s="37"/>
      <c r="H603" s="37"/>
      <c r="I603" s="37"/>
      <c r="J603" s="37"/>
      <c r="K603" s="36"/>
      <c r="L603" s="77"/>
      <c r="O603" s="36"/>
      <c r="P603" s="38"/>
      <c r="Q603" s="77"/>
    </row>
    <row r="604" ht="13.5" customHeight="1">
      <c r="A604" s="37"/>
      <c r="B604" s="37"/>
      <c r="C604" s="37"/>
      <c r="D604" s="37"/>
      <c r="E604" s="37"/>
      <c r="F604" s="36"/>
      <c r="G604" s="37"/>
      <c r="H604" s="37"/>
      <c r="I604" s="37"/>
      <c r="J604" s="37"/>
      <c r="K604" s="36"/>
      <c r="L604" s="77"/>
      <c r="O604" s="36"/>
      <c r="P604" s="38"/>
      <c r="Q604" s="77"/>
    </row>
    <row r="605" ht="13.5" customHeight="1">
      <c r="A605" s="37"/>
      <c r="B605" s="37"/>
      <c r="C605" s="37"/>
      <c r="D605" s="37"/>
      <c r="E605" s="37"/>
      <c r="F605" s="36"/>
      <c r="G605" s="37"/>
      <c r="H605" s="37"/>
      <c r="I605" s="37"/>
      <c r="J605" s="37"/>
      <c r="K605" s="36"/>
      <c r="L605" s="77"/>
      <c r="O605" s="36"/>
      <c r="P605" s="38"/>
      <c r="Q605" s="77"/>
    </row>
    <row r="606" ht="13.5" customHeight="1">
      <c r="A606" s="37"/>
      <c r="B606" s="37"/>
      <c r="C606" s="37"/>
      <c r="D606" s="37"/>
      <c r="E606" s="37"/>
      <c r="F606" s="36"/>
      <c r="G606" s="37"/>
      <c r="H606" s="37"/>
      <c r="I606" s="37"/>
      <c r="J606" s="37"/>
      <c r="K606" s="36"/>
      <c r="L606" s="77"/>
      <c r="O606" s="36"/>
      <c r="P606" s="38"/>
      <c r="Q606" s="77"/>
    </row>
    <row r="607" ht="13.5" customHeight="1">
      <c r="A607" s="37"/>
      <c r="B607" s="37"/>
      <c r="C607" s="37"/>
      <c r="D607" s="37"/>
      <c r="E607" s="37"/>
      <c r="F607" s="36"/>
      <c r="G607" s="37"/>
      <c r="H607" s="37"/>
      <c r="I607" s="37"/>
      <c r="J607" s="37"/>
      <c r="K607" s="36"/>
      <c r="L607" s="77"/>
      <c r="O607" s="36"/>
      <c r="P607" s="38"/>
      <c r="Q607" s="77"/>
    </row>
    <row r="608" ht="13.5" customHeight="1">
      <c r="A608" s="37"/>
      <c r="B608" s="37"/>
      <c r="C608" s="37"/>
      <c r="D608" s="37"/>
      <c r="E608" s="37"/>
      <c r="F608" s="36"/>
      <c r="G608" s="37"/>
      <c r="H608" s="37"/>
      <c r="I608" s="37"/>
      <c r="J608" s="37"/>
      <c r="K608" s="36"/>
      <c r="L608" s="77"/>
      <c r="O608" s="36"/>
      <c r="P608" s="38"/>
      <c r="Q608" s="77"/>
    </row>
    <row r="609" ht="13.5" customHeight="1">
      <c r="A609" s="37"/>
      <c r="B609" s="37"/>
      <c r="C609" s="37"/>
      <c r="D609" s="37"/>
      <c r="E609" s="37"/>
      <c r="F609" s="36"/>
      <c r="G609" s="37"/>
      <c r="H609" s="37"/>
      <c r="I609" s="37"/>
      <c r="J609" s="37"/>
      <c r="K609" s="36"/>
      <c r="L609" s="77"/>
      <c r="O609" s="36"/>
      <c r="P609" s="38"/>
      <c r="Q609" s="77"/>
    </row>
    <row r="610" ht="13.5" customHeight="1">
      <c r="A610" s="37"/>
      <c r="B610" s="37"/>
      <c r="C610" s="37"/>
      <c r="D610" s="37"/>
      <c r="E610" s="37"/>
      <c r="F610" s="36"/>
      <c r="G610" s="37"/>
      <c r="H610" s="37"/>
      <c r="I610" s="37"/>
      <c r="J610" s="37"/>
      <c r="K610" s="36"/>
      <c r="L610" s="77"/>
      <c r="O610" s="36"/>
      <c r="P610" s="38"/>
      <c r="Q610" s="77"/>
    </row>
    <row r="611" ht="13.5" customHeight="1">
      <c r="A611" s="37"/>
      <c r="B611" s="37"/>
      <c r="C611" s="37"/>
      <c r="D611" s="37"/>
      <c r="E611" s="37"/>
      <c r="F611" s="36"/>
      <c r="G611" s="37"/>
      <c r="H611" s="37"/>
      <c r="I611" s="37"/>
      <c r="J611" s="37"/>
      <c r="K611" s="36"/>
      <c r="L611" s="77"/>
      <c r="O611" s="36"/>
      <c r="P611" s="38"/>
      <c r="Q611" s="77"/>
    </row>
    <row r="612" ht="13.5" customHeight="1">
      <c r="A612" s="37"/>
      <c r="B612" s="37"/>
      <c r="C612" s="37"/>
      <c r="D612" s="37"/>
      <c r="E612" s="37"/>
      <c r="F612" s="36"/>
      <c r="G612" s="37"/>
      <c r="H612" s="37"/>
      <c r="I612" s="37"/>
      <c r="J612" s="37"/>
      <c r="K612" s="36"/>
      <c r="L612" s="77"/>
      <c r="O612" s="36"/>
      <c r="P612" s="38"/>
      <c r="Q612" s="77"/>
    </row>
    <row r="613" ht="13.5" customHeight="1">
      <c r="A613" s="37"/>
      <c r="B613" s="37"/>
      <c r="C613" s="37"/>
      <c r="D613" s="37"/>
      <c r="E613" s="37"/>
      <c r="F613" s="36"/>
      <c r="G613" s="37"/>
      <c r="H613" s="37"/>
      <c r="I613" s="37"/>
      <c r="J613" s="37"/>
      <c r="K613" s="36"/>
      <c r="L613" s="77"/>
      <c r="O613" s="36"/>
      <c r="P613" s="38"/>
      <c r="Q613" s="77"/>
    </row>
    <row r="614" ht="13.5" customHeight="1">
      <c r="A614" s="37"/>
      <c r="B614" s="37"/>
      <c r="C614" s="37"/>
      <c r="D614" s="37"/>
      <c r="E614" s="37"/>
      <c r="F614" s="36"/>
      <c r="G614" s="37"/>
      <c r="H614" s="37"/>
      <c r="I614" s="37"/>
      <c r="J614" s="37"/>
      <c r="K614" s="36"/>
      <c r="L614" s="77"/>
      <c r="O614" s="36"/>
      <c r="P614" s="38"/>
      <c r="Q614" s="77"/>
    </row>
    <row r="615" ht="13.5" customHeight="1">
      <c r="A615" s="37"/>
      <c r="B615" s="37"/>
      <c r="C615" s="37"/>
      <c r="D615" s="37"/>
      <c r="E615" s="37"/>
      <c r="F615" s="36"/>
      <c r="G615" s="37"/>
      <c r="H615" s="37"/>
      <c r="I615" s="37"/>
      <c r="J615" s="37"/>
      <c r="K615" s="36"/>
      <c r="L615" s="77"/>
      <c r="O615" s="36"/>
      <c r="P615" s="38"/>
      <c r="Q615" s="77"/>
    </row>
    <row r="616" ht="13.5" customHeight="1">
      <c r="A616" s="37"/>
      <c r="B616" s="37"/>
      <c r="C616" s="37"/>
      <c r="D616" s="37"/>
      <c r="E616" s="37"/>
      <c r="F616" s="36"/>
      <c r="G616" s="37"/>
      <c r="H616" s="37"/>
      <c r="I616" s="37"/>
      <c r="J616" s="37"/>
      <c r="K616" s="36"/>
      <c r="L616" s="77"/>
      <c r="O616" s="36"/>
      <c r="P616" s="38"/>
      <c r="Q616" s="77"/>
    </row>
    <row r="617" ht="13.5" customHeight="1">
      <c r="A617" s="37"/>
      <c r="B617" s="37"/>
      <c r="C617" s="37"/>
      <c r="D617" s="37"/>
      <c r="E617" s="37"/>
      <c r="F617" s="36"/>
      <c r="G617" s="37"/>
      <c r="H617" s="37"/>
      <c r="I617" s="37"/>
      <c r="J617" s="37"/>
      <c r="K617" s="36"/>
      <c r="L617" s="77"/>
      <c r="O617" s="36"/>
      <c r="P617" s="38"/>
      <c r="Q617" s="77"/>
    </row>
    <row r="618" ht="13.5" customHeight="1">
      <c r="A618" s="37"/>
      <c r="B618" s="37"/>
      <c r="C618" s="37"/>
      <c r="D618" s="37"/>
      <c r="E618" s="37"/>
      <c r="F618" s="36"/>
      <c r="G618" s="37"/>
      <c r="H618" s="37"/>
      <c r="I618" s="37"/>
      <c r="J618" s="37"/>
      <c r="K618" s="36"/>
      <c r="L618" s="77"/>
      <c r="O618" s="36"/>
      <c r="P618" s="38"/>
      <c r="Q618" s="77"/>
    </row>
    <row r="619" ht="13.5" customHeight="1">
      <c r="A619" s="37"/>
      <c r="B619" s="37"/>
      <c r="C619" s="37"/>
      <c r="D619" s="37"/>
      <c r="E619" s="37"/>
      <c r="F619" s="36"/>
      <c r="G619" s="37"/>
      <c r="H619" s="37"/>
      <c r="I619" s="37"/>
      <c r="J619" s="37"/>
      <c r="K619" s="36"/>
      <c r="L619" s="77"/>
      <c r="O619" s="36"/>
      <c r="P619" s="38"/>
      <c r="Q619" s="77"/>
    </row>
    <row r="620" ht="13.5" customHeight="1">
      <c r="A620" s="37"/>
      <c r="B620" s="37"/>
      <c r="C620" s="37"/>
      <c r="D620" s="37"/>
      <c r="E620" s="37"/>
      <c r="F620" s="36"/>
      <c r="G620" s="37"/>
      <c r="H620" s="37"/>
      <c r="I620" s="37"/>
      <c r="J620" s="37"/>
      <c r="K620" s="36"/>
      <c r="L620" s="77"/>
      <c r="O620" s="36"/>
      <c r="P620" s="38"/>
      <c r="Q620" s="77"/>
    </row>
    <row r="621" ht="13.5" customHeight="1">
      <c r="A621" s="37"/>
      <c r="B621" s="37"/>
      <c r="C621" s="37"/>
      <c r="D621" s="37"/>
      <c r="E621" s="37"/>
      <c r="F621" s="36"/>
      <c r="G621" s="37"/>
      <c r="H621" s="37"/>
      <c r="I621" s="37"/>
      <c r="J621" s="37"/>
      <c r="K621" s="36"/>
      <c r="L621" s="77"/>
      <c r="O621" s="36"/>
      <c r="P621" s="38"/>
      <c r="Q621" s="77"/>
    </row>
    <row r="622" ht="13.5" customHeight="1">
      <c r="A622" s="37"/>
      <c r="B622" s="37"/>
      <c r="C622" s="37"/>
      <c r="D622" s="37"/>
      <c r="E622" s="37"/>
      <c r="F622" s="36"/>
      <c r="G622" s="37"/>
      <c r="H622" s="37"/>
      <c r="I622" s="37"/>
      <c r="J622" s="37"/>
      <c r="K622" s="36"/>
      <c r="L622" s="77"/>
      <c r="O622" s="36"/>
      <c r="P622" s="38"/>
      <c r="Q622" s="77"/>
    </row>
    <row r="623" ht="13.5" customHeight="1">
      <c r="A623" s="37"/>
      <c r="B623" s="37"/>
      <c r="C623" s="37"/>
      <c r="D623" s="37"/>
      <c r="E623" s="37"/>
      <c r="F623" s="36"/>
      <c r="G623" s="37"/>
      <c r="H623" s="37"/>
      <c r="I623" s="37"/>
      <c r="J623" s="37"/>
      <c r="K623" s="36"/>
      <c r="L623" s="77"/>
      <c r="O623" s="36"/>
      <c r="P623" s="38"/>
      <c r="Q623" s="77"/>
    </row>
    <row r="624" ht="13.5" customHeight="1">
      <c r="A624" s="37"/>
      <c r="B624" s="37"/>
      <c r="C624" s="37"/>
      <c r="D624" s="37"/>
      <c r="E624" s="37"/>
      <c r="F624" s="36"/>
      <c r="G624" s="37"/>
      <c r="H624" s="37"/>
      <c r="I624" s="37"/>
      <c r="J624" s="37"/>
      <c r="K624" s="36"/>
      <c r="L624" s="77"/>
      <c r="O624" s="36"/>
      <c r="P624" s="38"/>
      <c r="Q624" s="77"/>
    </row>
    <row r="625" ht="13.5" customHeight="1">
      <c r="A625" s="37"/>
      <c r="B625" s="37"/>
      <c r="C625" s="37"/>
      <c r="D625" s="37"/>
      <c r="E625" s="37"/>
      <c r="F625" s="36"/>
      <c r="G625" s="37"/>
      <c r="H625" s="37"/>
      <c r="I625" s="37"/>
      <c r="J625" s="37"/>
      <c r="K625" s="36"/>
      <c r="L625" s="77"/>
      <c r="O625" s="36"/>
      <c r="P625" s="38"/>
      <c r="Q625" s="77"/>
    </row>
    <row r="626" ht="13.5" customHeight="1">
      <c r="A626" s="37"/>
      <c r="B626" s="37"/>
      <c r="C626" s="37"/>
      <c r="D626" s="37"/>
      <c r="E626" s="37"/>
      <c r="F626" s="36"/>
      <c r="G626" s="37"/>
      <c r="H626" s="37"/>
      <c r="I626" s="37"/>
      <c r="J626" s="37"/>
      <c r="K626" s="36"/>
      <c r="L626" s="77"/>
      <c r="O626" s="36"/>
      <c r="P626" s="38"/>
      <c r="Q626" s="77"/>
    </row>
    <row r="627" ht="13.5" customHeight="1">
      <c r="A627" s="37"/>
      <c r="B627" s="37"/>
      <c r="C627" s="37"/>
      <c r="D627" s="37"/>
      <c r="E627" s="37"/>
      <c r="F627" s="36"/>
      <c r="G627" s="37"/>
      <c r="H627" s="37"/>
      <c r="I627" s="37"/>
      <c r="J627" s="37"/>
      <c r="K627" s="36"/>
      <c r="L627" s="77"/>
      <c r="O627" s="36"/>
      <c r="P627" s="38"/>
      <c r="Q627" s="77"/>
    </row>
    <row r="628" ht="13.5" customHeight="1">
      <c r="A628" s="37"/>
      <c r="B628" s="37"/>
      <c r="C628" s="37"/>
      <c r="D628" s="37"/>
      <c r="E628" s="37"/>
      <c r="F628" s="36"/>
      <c r="G628" s="37"/>
      <c r="H628" s="37"/>
      <c r="I628" s="37"/>
      <c r="J628" s="37"/>
      <c r="K628" s="36"/>
      <c r="L628" s="77"/>
      <c r="O628" s="36"/>
      <c r="P628" s="38"/>
      <c r="Q628" s="77"/>
    </row>
    <row r="629" ht="13.5" customHeight="1">
      <c r="A629" s="37"/>
      <c r="B629" s="37"/>
      <c r="C629" s="37"/>
      <c r="D629" s="37"/>
      <c r="E629" s="37"/>
      <c r="F629" s="36"/>
      <c r="G629" s="37"/>
      <c r="H629" s="37"/>
      <c r="I629" s="37"/>
      <c r="J629" s="37"/>
      <c r="K629" s="36"/>
      <c r="L629" s="77"/>
      <c r="O629" s="36"/>
      <c r="P629" s="38"/>
      <c r="Q629" s="77"/>
    </row>
    <row r="630" ht="13.5" customHeight="1">
      <c r="A630" s="37"/>
      <c r="B630" s="37"/>
      <c r="C630" s="37"/>
      <c r="D630" s="37"/>
      <c r="E630" s="37"/>
      <c r="F630" s="36"/>
      <c r="G630" s="37"/>
      <c r="H630" s="37"/>
      <c r="I630" s="37"/>
      <c r="J630" s="37"/>
      <c r="K630" s="36"/>
      <c r="L630" s="77"/>
      <c r="O630" s="36"/>
      <c r="P630" s="38"/>
      <c r="Q630" s="77"/>
    </row>
    <row r="631" ht="13.5" customHeight="1">
      <c r="A631" s="37"/>
      <c r="B631" s="37"/>
      <c r="C631" s="37"/>
      <c r="D631" s="37"/>
      <c r="E631" s="37"/>
      <c r="F631" s="36"/>
      <c r="G631" s="37"/>
      <c r="H631" s="37"/>
      <c r="I631" s="37"/>
      <c r="J631" s="37"/>
      <c r="K631" s="36"/>
      <c r="L631" s="77"/>
      <c r="O631" s="36"/>
      <c r="P631" s="38"/>
      <c r="Q631" s="77"/>
    </row>
    <row r="632" ht="13.5" customHeight="1">
      <c r="A632" s="37"/>
      <c r="B632" s="37"/>
      <c r="C632" s="37"/>
      <c r="D632" s="37"/>
      <c r="E632" s="37"/>
      <c r="F632" s="36"/>
      <c r="G632" s="37"/>
      <c r="H632" s="37"/>
      <c r="I632" s="37"/>
      <c r="J632" s="37"/>
      <c r="K632" s="36"/>
      <c r="L632" s="77"/>
      <c r="O632" s="36"/>
      <c r="P632" s="38"/>
      <c r="Q632" s="77"/>
    </row>
    <row r="633" ht="13.5" customHeight="1">
      <c r="A633" s="37"/>
      <c r="B633" s="37"/>
      <c r="C633" s="37"/>
      <c r="D633" s="37"/>
      <c r="E633" s="37"/>
      <c r="F633" s="36"/>
      <c r="G633" s="37"/>
      <c r="H633" s="37"/>
      <c r="I633" s="37"/>
      <c r="J633" s="37"/>
      <c r="K633" s="36"/>
      <c r="L633" s="77"/>
      <c r="O633" s="36"/>
      <c r="P633" s="38"/>
      <c r="Q633" s="77"/>
    </row>
    <row r="634" ht="13.5" customHeight="1">
      <c r="A634" s="37"/>
      <c r="B634" s="37"/>
      <c r="C634" s="37"/>
      <c r="D634" s="37"/>
      <c r="E634" s="37"/>
      <c r="F634" s="36"/>
      <c r="G634" s="37"/>
      <c r="H634" s="37"/>
      <c r="I634" s="37"/>
      <c r="J634" s="37"/>
      <c r="K634" s="36"/>
      <c r="L634" s="77"/>
      <c r="O634" s="36"/>
      <c r="P634" s="38"/>
      <c r="Q634" s="77"/>
    </row>
    <row r="635" ht="13.5" customHeight="1">
      <c r="A635" s="37"/>
      <c r="B635" s="37"/>
      <c r="C635" s="37"/>
      <c r="D635" s="37"/>
      <c r="E635" s="37"/>
      <c r="F635" s="36"/>
      <c r="G635" s="37"/>
      <c r="H635" s="37"/>
      <c r="I635" s="37"/>
      <c r="J635" s="37"/>
      <c r="K635" s="36"/>
      <c r="L635" s="77"/>
      <c r="O635" s="36"/>
      <c r="P635" s="38"/>
      <c r="Q635" s="77"/>
    </row>
    <row r="636" ht="13.5" customHeight="1">
      <c r="A636" s="37"/>
      <c r="B636" s="37"/>
      <c r="C636" s="37"/>
      <c r="D636" s="37"/>
      <c r="E636" s="37"/>
      <c r="F636" s="36"/>
      <c r="G636" s="37"/>
      <c r="H636" s="37"/>
      <c r="I636" s="37"/>
      <c r="J636" s="37"/>
      <c r="K636" s="36"/>
      <c r="L636" s="77"/>
      <c r="O636" s="36"/>
      <c r="P636" s="38"/>
      <c r="Q636" s="77"/>
    </row>
    <row r="637" ht="13.5" customHeight="1">
      <c r="A637" s="37"/>
      <c r="B637" s="37"/>
      <c r="C637" s="37"/>
      <c r="D637" s="37"/>
      <c r="E637" s="37"/>
      <c r="F637" s="36"/>
      <c r="G637" s="37"/>
      <c r="H637" s="37"/>
      <c r="I637" s="37"/>
      <c r="J637" s="37"/>
      <c r="K637" s="36"/>
      <c r="L637" s="77"/>
      <c r="O637" s="36"/>
      <c r="P637" s="38"/>
      <c r="Q637" s="77"/>
    </row>
    <row r="638" ht="13.5" customHeight="1">
      <c r="A638" s="37"/>
      <c r="B638" s="37"/>
      <c r="C638" s="37"/>
      <c r="D638" s="37"/>
      <c r="E638" s="37"/>
      <c r="F638" s="36"/>
      <c r="G638" s="37"/>
      <c r="H638" s="37"/>
      <c r="I638" s="37"/>
      <c r="J638" s="37"/>
      <c r="K638" s="36"/>
      <c r="L638" s="77"/>
      <c r="O638" s="36"/>
      <c r="P638" s="38"/>
      <c r="Q638" s="77"/>
    </row>
    <row r="639" ht="13.5" customHeight="1">
      <c r="A639" s="37"/>
      <c r="B639" s="37"/>
      <c r="C639" s="37"/>
      <c r="D639" s="37"/>
      <c r="E639" s="37"/>
      <c r="F639" s="36"/>
      <c r="G639" s="37"/>
      <c r="H639" s="37"/>
      <c r="I639" s="37"/>
      <c r="J639" s="37"/>
      <c r="K639" s="36"/>
      <c r="L639" s="77"/>
      <c r="O639" s="36"/>
      <c r="P639" s="38"/>
      <c r="Q639" s="77"/>
    </row>
    <row r="640" ht="13.5" customHeight="1">
      <c r="A640" s="37"/>
      <c r="B640" s="37"/>
      <c r="C640" s="37"/>
      <c r="D640" s="37"/>
      <c r="E640" s="37"/>
      <c r="F640" s="36"/>
      <c r="G640" s="37"/>
      <c r="H640" s="37"/>
      <c r="I640" s="37"/>
      <c r="J640" s="37"/>
      <c r="K640" s="36"/>
      <c r="L640" s="77"/>
      <c r="O640" s="36"/>
      <c r="P640" s="38"/>
      <c r="Q640" s="77"/>
    </row>
    <row r="641" ht="13.5" customHeight="1">
      <c r="A641" s="37"/>
      <c r="B641" s="37"/>
      <c r="C641" s="37"/>
      <c r="D641" s="37"/>
      <c r="E641" s="37"/>
      <c r="F641" s="36"/>
      <c r="G641" s="37"/>
      <c r="H641" s="37"/>
      <c r="I641" s="37"/>
      <c r="J641" s="37"/>
      <c r="K641" s="36"/>
      <c r="L641" s="77"/>
      <c r="O641" s="36"/>
      <c r="P641" s="38"/>
      <c r="Q641" s="77"/>
    </row>
    <row r="642" ht="13.5" customHeight="1">
      <c r="A642" s="37"/>
      <c r="B642" s="37"/>
      <c r="C642" s="37"/>
      <c r="D642" s="37"/>
      <c r="E642" s="37"/>
      <c r="F642" s="36"/>
      <c r="G642" s="37"/>
      <c r="H642" s="37"/>
      <c r="I642" s="37"/>
      <c r="J642" s="37"/>
      <c r="K642" s="36"/>
      <c r="L642" s="77"/>
      <c r="O642" s="36"/>
      <c r="P642" s="38"/>
      <c r="Q642" s="77"/>
    </row>
    <row r="643" ht="13.5" customHeight="1">
      <c r="A643" s="37"/>
      <c r="B643" s="37"/>
      <c r="C643" s="37"/>
      <c r="D643" s="37"/>
      <c r="E643" s="37"/>
      <c r="F643" s="36"/>
      <c r="G643" s="37"/>
      <c r="H643" s="37"/>
      <c r="I643" s="37"/>
      <c r="J643" s="37"/>
      <c r="K643" s="36"/>
      <c r="L643" s="77"/>
      <c r="O643" s="36"/>
      <c r="P643" s="38"/>
      <c r="Q643" s="77"/>
    </row>
    <row r="644" ht="13.5" customHeight="1">
      <c r="A644" s="37"/>
      <c r="B644" s="37"/>
      <c r="C644" s="37"/>
      <c r="D644" s="37"/>
      <c r="E644" s="37"/>
      <c r="F644" s="36"/>
      <c r="G644" s="37"/>
      <c r="H644" s="37"/>
      <c r="I644" s="37"/>
      <c r="J644" s="37"/>
      <c r="K644" s="36"/>
      <c r="L644" s="77"/>
      <c r="O644" s="36"/>
      <c r="P644" s="38"/>
      <c r="Q644" s="77"/>
    </row>
    <row r="645" ht="13.5" customHeight="1">
      <c r="A645" s="37"/>
      <c r="B645" s="37"/>
      <c r="C645" s="37"/>
      <c r="D645" s="37"/>
      <c r="E645" s="37"/>
      <c r="F645" s="36"/>
      <c r="G645" s="37"/>
      <c r="H645" s="37"/>
      <c r="I645" s="37"/>
      <c r="J645" s="37"/>
      <c r="K645" s="36"/>
      <c r="L645" s="77"/>
      <c r="O645" s="36"/>
      <c r="P645" s="38"/>
      <c r="Q645" s="77"/>
    </row>
    <row r="646" ht="13.5" customHeight="1">
      <c r="A646" s="37"/>
      <c r="B646" s="37"/>
      <c r="C646" s="37"/>
      <c r="D646" s="37"/>
      <c r="E646" s="37"/>
      <c r="F646" s="36"/>
      <c r="G646" s="37"/>
      <c r="H646" s="37"/>
      <c r="I646" s="37"/>
      <c r="J646" s="37"/>
      <c r="K646" s="36"/>
      <c r="L646" s="77"/>
      <c r="O646" s="36"/>
      <c r="P646" s="38"/>
      <c r="Q646" s="77"/>
    </row>
    <row r="647" ht="13.5" customHeight="1">
      <c r="A647" s="37"/>
      <c r="B647" s="37"/>
      <c r="C647" s="37"/>
      <c r="D647" s="37"/>
      <c r="E647" s="37"/>
      <c r="F647" s="36"/>
      <c r="G647" s="37"/>
      <c r="H647" s="37"/>
      <c r="I647" s="37"/>
      <c r="J647" s="37"/>
      <c r="K647" s="36"/>
      <c r="L647" s="77"/>
      <c r="O647" s="36"/>
      <c r="P647" s="38"/>
      <c r="Q647" s="77"/>
    </row>
    <row r="648" ht="13.5" customHeight="1">
      <c r="A648" s="37"/>
      <c r="B648" s="37"/>
      <c r="C648" s="37"/>
      <c r="D648" s="37"/>
      <c r="E648" s="37"/>
      <c r="F648" s="36"/>
      <c r="G648" s="37"/>
      <c r="H648" s="37"/>
      <c r="I648" s="37"/>
      <c r="J648" s="37"/>
      <c r="K648" s="36"/>
      <c r="L648" s="77"/>
      <c r="O648" s="36"/>
      <c r="P648" s="38"/>
      <c r="Q648" s="77"/>
    </row>
    <row r="649" ht="13.5" customHeight="1">
      <c r="A649" s="37"/>
      <c r="B649" s="37"/>
      <c r="C649" s="37"/>
      <c r="D649" s="37"/>
      <c r="E649" s="37"/>
      <c r="F649" s="36"/>
      <c r="G649" s="37"/>
      <c r="H649" s="37"/>
      <c r="I649" s="37"/>
      <c r="J649" s="37"/>
      <c r="K649" s="36"/>
      <c r="L649" s="77"/>
      <c r="O649" s="36"/>
      <c r="P649" s="38"/>
      <c r="Q649" s="77"/>
    </row>
    <row r="650" ht="13.5" customHeight="1">
      <c r="A650" s="37"/>
      <c r="B650" s="37"/>
      <c r="C650" s="37"/>
      <c r="D650" s="37"/>
      <c r="E650" s="37"/>
      <c r="F650" s="36"/>
      <c r="G650" s="37"/>
      <c r="H650" s="37"/>
      <c r="I650" s="37"/>
      <c r="J650" s="37"/>
      <c r="K650" s="36"/>
      <c r="L650" s="77"/>
      <c r="O650" s="36"/>
      <c r="P650" s="38"/>
      <c r="Q650" s="77"/>
    </row>
    <row r="651" ht="13.5" customHeight="1">
      <c r="A651" s="37"/>
      <c r="B651" s="37"/>
      <c r="C651" s="37"/>
      <c r="D651" s="37"/>
      <c r="E651" s="37"/>
      <c r="F651" s="36"/>
      <c r="G651" s="37"/>
      <c r="H651" s="37"/>
      <c r="I651" s="37"/>
      <c r="J651" s="37"/>
      <c r="K651" s="36"/>
      <c r="L651" s="77"/>
      <c r="O651" s="36"/>
      <c r="P651" s="38"/>
      <c r="Q651" s="77"/>
    </row>
    <row r="652" ht="13.5" customHeight="1">
      <c r="A652" s="37"/>
      <c r="B652" s="37"/>
      <c r="C652" s="37"/>
      <c r="D652" s="37"/>
      <c r="E652" s="37"/>
      <c r="F652" s="36"/>
      <c r="G652" s="37"/>
      <c r="H652" s="37"/>
      <c r="I652" s="37"/>
      <c r="J652" s="37"/>
      <c r="K652" s="36"/>
      <c r="L652" s="77"/>
      <c r="O652" s="36"/>
      <c r="P652" s="38"/>
      <c r="Q652" s="77"/>
    </row>
    <row r="653" ht="13.5" customHeight="1">
      <c r="A653" s="37"/>
      <c r="B653" s="37"/>
      <c r="C653" s="37"/>
      <c r="D653" s="37"/>
      <c r="E653" s="37"/>
      <c r="F653" s="36"/>
      <c r="G653" s="37"/>
      <c r="H653" s="37"/>
      <c r="I653" s="37"/>
      <c r="J653" s="37"/>
      <c r="K653" s="36"/>
      <c r="L653" s="77"/>
      <c r="O653" s="36"/>
      <c r="P653" s="38"/>
      <c r="Q653" s="77"/>
    </row>
    <row r="654" ht="13.5" customHeight="1">
      <c r="A654" s="37"/>
      <c r="B654" s="37"/>
      <c r="C654" s="37"/>
      <c r="D654" s="37"/>
      <c r="E654" s="37"/>
      <c r="F654" s="36"/>
      <c r="G654" s="37"/>
      <c r="H654" s="37"/>
      <c r="I654" s="37"/>
      <c r="J654" s="37"/>
      <c r="K654" s="36"/>
      <c r="L654" s="77"/>
      <c r="O654" s="36"/>
      <c r="P654" s="38"/>
      <c r="Q654" s="77"/>
    </row>
    <row r="655" ht="13.5" customHeight="1">
      <c r="A655" s="37"/>
      <c r="B655" s="37"/>
      <c r="C655" s="37"/>
      <c r="D655" s="37"/>
      <c r="E655" s="37"/>
      <c r="F655" s="36"/>
      <c r="G655" s="37"/>
      <c r="H655" s="37"/>
      <c r="I655" s="37"/>
      <c r="J655" s="37"/>
      <c r="K655" s="36"/>
      <c r="L655" s="77"/>
      <c r="O655" s="36"/>
      <c r="P655" s="38"/>
      <c r="Q655" s="77"/>
    </row>
    <row r="656" ht="13.5" customHeight="1">
      <c r="A656" s="37"/>
      <c r="B656" s="37"/>
      <c r="C656" s="37"/>
      <c r="D656" s="37"/>
      <c r="E656" s="37"/>
      <c r="F656" s="36"/>
      <c r="G656" s="37"/>
      <c r="H656" s="37"/>
      <c r="I656" s="37"/>
      <c r="J656" s="37"/>
      <c r="K656" s="36"/>
      <c r="L656" s="77"/>
      <c r="O656" s="36"/>
      <c r="P656" s="38"/>
      <c r="Q656" s="77"/>
    </row>
    <row r="657" ht="13.5" customHeight="1">
      <c r="A657" s="37"/>
      <c r="B657" s="37"/>
      <c r="C657" s="37"/>
      <c r="D657" s="37"/>
      <c r="E657" s="37"/>
      <c r="F657" s="36"/>
      <c r="G657" s="37"/>
      <c r="H657" s="37"/>
      <c r="I657" s="37"/>
      <c r="J657" s="37"/>
      <c r="K657" s="36"/>
      <c r="L657" s="77"/>
      <c r="O657" s="36"/>
      <c r="P657" s="38"/>
      <c r="Q657" s="77"/>
    </row>
    <row r="658" ht="13.5" customHeight="1">
      <c r="A658" s="37"/>
      <c r="B658" s="37"/>
      <c r="C658" s="37"/>
      <c r="D658" s="37"/>
      <c r="E658" s="37"/>
      <c r="F658" s="36"/>
      <c r="G658" s="37"/>
      <c r="H658" s="37"/>
      <c r="I658" s="37"/>
      <c r="J658" s="37"/>
      <c r="K658" s="36"/>
      <c r="L658" s="77"/>
      <c r="O658" s="36"/>
      <c r="P658" s="38"/>
      <c r="Q658" s="77"/>
    </row>
    <row r="659" ht="13.5" customHeight="1">
      <c r="A659" s="37"/>
      <c r="B659" s="37"/>
      <c r="C659" s="37"/>
      <c r="D659" s="37"/>
      <c r="E659" s="37"/>
      <c r="F659" s="36"/>
      <c r="G659" s="37"/>
      <c r="H659" s="37"/>
      <c r="I659" s="37"/>
      <c r="J659" s="37"/>
      <c r="K659" s="36"/>
      <c r="L659" s="77"/>
      <c r="O659" s="36"/>
      <c r="P659" s="38"/>
      <c r="Q659" s="77"/>
    </row>
    <row r="660" ht="13.5" customHeight="1">
      <c r="A660" s="37"/>
      <c r="B660" s="37"/>
      <c r="C660" s="37"/>
      <c r="D660" s="37"/>
      <c r="E660" s="37"/>
      <c r="F660" s="36"/>
      <c r="G660" s="37"/>
      <c r="H660" s="37"/>
      <c r="I660" s="37"/>
      <c r="J660" s="37"/>
      <c r="K660" s="36"/>
      <c r="L660" s="77"/>
      <c r="O660" s="36"/>
      <c r="P660" s="38"/>
      <c r="Q660" s="77"/>
    </row>
    <row r="661" ht="13.5" customHeight="1">
      <c r="A661" s="37"/>
      <c r="B661" s="37"/>
      <c r="C661" s="37"/>
      <c r="D661" s="37"/>
      <c r="E661" s="37"/>
      <c r="F661" s="36"/>
      <c r="G661" s="37"/>
      <c r="H661" s="37"/>
      <c r="I661" s="37"/>
      <c r="J661" s="37"/>
      <c r="K661" s="36"/>
      <c r="L661" s="77"/>
      <c r="O661" s="36"/>
      <c r="P661" s="38"/>
      <c r="Q661" s="77"/>
    </row>
    <row r="662" ht="13.5" customHeight="1">
      <c r="A662" s="37"/>
      <c r="B662" s="37"/>
      <c r="C662" s="37"/>
      <c r="D662" s="37"/>
      <c r="E662" s="37"/>
      <c r="F662" s="36"/>
      <c r="G662" s="37"/>
      <c r="H662" s="37"/>
      <c r="I662" s="37"/>
      <c r="J662" s="37"/>
      <c r="K662" s="36"/>
      <c r="L662" s="77"/>
      <c r="O662" s="36"/>
      <c r="P662" s="38"/>
      <c r="Q662" s="77"/>
    </row>
    <row r="663" ht="13.5" customHeight="1">
      <c r="A663" s="37"/>
      <c r="B663" s="37"/>
      <c r="C663" s="37"/>
      <c r="D663" s="37"/>
      <c r="E663" s="37"/>
      <c r="F663" s="36"/>
      <c r="G663" s="37"/>
      <c r="H663" s="37"/>
      <c r="I663" s="37"/>
      <c r="J663" s="37"/>
      <c r="K663" s="36"/>
      <c r="L663" s="77"/>
      <c r="O663" s="36"/>
      <c r="P663" s="38"/>
      <c r="Q663" s="77"/>
    </row>
    <row r="664" ht="13.5" customHeight="1">
      <c r="A664" s="37"/>
      <c r="B664" s="37"/>
      <c r="C664" s="37"/>
      <c r="D664" s="37"/>
      <c r="E664" s="37"/>
      <c r="F664" s="36"/>
      <c r="G664" s="37"/>
      <c r="H664" s="37"/>
      <c r="I664" s="37"/>
      <c r="J664" s="37"/>
      <c r="K664" s="36"/>
      <c r="L664" s="77"/>
      <c r="O664" s="36"/>
      <c r="P664" s="38"/>
      <c r="Q664" s="77"/>
    </row>
    <row r="665" ht="13.5" customHeight="1">
      <c r="A665" s="37"/>
      <c r="B665" s="37"/>
      <c r="C665" s="37"/>
      <c r="D665" s="37"/>
      <c r="E665" s="37"/>
      <c r="F665" s="36"/>
      <c r="G665" s="37"/>
      <c r="H665" s="37"/>
      <c r="I665" s="37"/>
      <c r="J665" s="37"/>
      <c r="K665" s="36"/>
      <c r="L665" s="77"/>
      <c r="O665" s="36"/>
      <c r="P665" s="38"/>
      <c r="Q665" s="77"/>
    </row>
    <row r="666" ht="13.5" customHeight="1">
      <c r="A666" s="37"/>
      <c r="B666" s="37"/>
      <c r="C666" s="37"/>
      <c r="D666" s="37"/>
      <c r="E666" s="37"/>
      <c r="F666" s="36"/>
      <c r="G666" s="37"/>
      <c r="H666" s="37"/>
      <c r="I666" s="37"/>
      <c r="J666" s="37"/>
      <c r="K666" s="36"/>
      <c r="L666" s="77"/>
      <c r="O666" s="36"/>
      <c r="P666" s="38"/>
      <c r="Q666" s="77"/>
    </row>
    <row r="667" ht="13.5" customHeight="1">
      <c r="A667" s="37"/>
      <c r="B667" s="37"/>
      <c r="C667" s="37"/>
      <c r="D667" s="37"/>
      <c r="E667" s="37"/>
      <c r="F667" s="36"/>
      <c r="G667" s="37"/>
      <c r="H667" s="37"/>
      <c r="I667" s="37"/>
      <c r="J667" s="37"/>
      <c r="K667" s="36"/>
      <c r="L667" s="77"/>
      <c r="O667" s="36"/>
      <c r="P667" s="38"/>
      <c r="Q667" s="77"/>
    </row>
    <row r="668" ht="13.5" customHeight="1">
      <c r="A668" s="37"/>
      <c r="B668" s="37"/>
      <c r="C668" s="37"/>
      <c r="D668" s="37"/>
      <c r="E668" s="37"/>
      <c r="F668" s="36"/>
      <c r="G668" s="37"/>
      <c r="H668" s="37"/>
      <c r="I668" s="37"/>
      <c r="J668" s="37"/>
      <c r="K668" s="36"/>
      <c r="L668" s="77"/>
      <c r="O668" s="36"/>
      <c r="P668" s="38"/>
      <c r="Q668" s="77"/>
    </row>
    <row r="669" ht="13.5" customHeight="1">
      <c r="A669" s="37"/>
      <c r="B669" s="37"/>
      <c r="C669" s="37"/>
      <c r="D669" s="37"/>
      <c r="E669" s="37"/>
      <c r="F669" s="36"/>
      <c r="G669" s="37"/>
      <c r="H669" s="37"/>
      <c r="I669" s="37"/>
      <c r="J669" s="37"/>
      <c r="K669" s="36"/>
      <c r="L669" s="77"/>
      <c r="O669" s="36"/>
      <c r="P669" s="38"/>
      <c r="Q669" s="77"/>
    </row>
    <row r="670" ht="13.5" customHeight="1">
      <c r="A670" s="37"/>
      <c r="B670" s="37"/>
      <c r="C670" s="37"/>
      <c r="D670" s="37"/>
      <c r="E670" s="37"/>
      <c r="F670" s="36"/>
      <c r="G670" s="37"/>
      <c r="H670" s="37"/>
      <c r="I670" s="37"/>
      <c r="J670" s="37"/>
      <c r="K670" s="36"/>
      <c r="L670" s="77"/>
      <c r="O670" s="36"/>
      <c r="P670" s="38"/>
      <c r="Q670" s="77"/>
    </row>
    <row r="671" ht="13.5" customHeight="1">
      <c r="A671" s="37"/>
      <c r="B671" s="37"/>
      <c r="C671" s="37"/>
      <c r="D671" s="37"/>
      <c r="E671" s="37"/>
      <c r="F671" s="36"/>
      <c r="G671" s="37"/>
      <c r="H671" s="37"/>
      <c r="I671" s="37"/>
      <c r="J671" s="37"/>
      <c r="K671" s="36"/>
      <c r="L671" s="77"/>
      <c r="O671" s="36"/>
      <c r="P671" s="38"/>
      <c r="Q671" s="77"/>
    </row>
    <row r="672" ht="13.5" customHeight="1">
      <c r="A672" s="37"/>
      <c r="B672" s="37"/>
      <c r="C672" s="37"/>
      <c r="D672" s="37"/>
      <c r="E672" s="37"/>
      <c r="F672" s="36"/>
      <c r="G672" s="37"/>
      <c r="H672" s="37"/>
      <c r="I672" s="37"/>
      <c r="J672" s="37"/>
      <c r="K672" s="36"/>
      <c r="L672" s="77"/>
      <c r="O672" s="36"/>
      <c r="P672" s="38"/>
      <c r="Q672" s="77"/>
    </row>
    <row r="673" ht="13.5" customHeight="1">
      <c r="A673" s="37"/>
      <c r="B673" s="37"/>
      <c r="C673" s="37"/>
      <c r="D673" s="37"/>
      <c r="E673" s="37"/>
      <c r="F673" s="36"/>
      <c r="G673" s="37"/>
      <c r="H673" s="37"/>
      <c r="I673" s="37"/>
      <c r="J673" s="37"/>
      <c r="K673" s="36"/>
      <c r="L673" s="77"/>
      <c r="O673" s="36"/>
      <c r="P673" s="38"/>
      <c r="Q673" s="77"/>
    </row>
    <row r="674" ht="13.5" customHeight="1">
      <c r="A674" s="37"/>
      <c r="B674" s="37"/>
      <c r="C674" s="37"/>
      <c r="D674" s="37"/>
      <c r="E674" s="37"/>
      <c r="F674" s="36"/>
      <c r="G674" s="37"/>
      <c r="H674" s="37"/>
      <c r="I674" s="37"/>
      <c r="J674" s="37"/>
      <c r="K674" s="36"/>
      <c r="L674" s="77"/>
      <c r="O674" s="36"/>
      <c r="P674" s="38"/>
      <c r="Q674" s="77"/>
    </row>
    <row r="675" ht="13.5" customHeight="1">
      <c r="A675" s="37"/>
      <c r="B675" s="37"/>
      <c r="C675" s="37"/>
      <c r="D675" s="37"/>
      <c r="E675" s="37"/>
      <c r="F675" s="36"/>
      <c r="G675" s="37"/>
      <c r="H675" s="37"/>
      <c r="I675" s="37"/>
      <c r="J675" s="37"/>
      <c r="K675" s="36"/>
      <c r="L675" s="77"/>
      <c r="O675" s="36"/>
      <c r="P675" s="38"/>
      <c r="Q675" s="77"/>
    </row>
    <row r="676" ht="13.5" customHeight="1">
      <c r="A676" s="37"/>
      <c r="B676" s="37"/>
      <c r="C676" s="37"/>
      <c r="D676" s="37"/>
      <c r="E676" s="37"/>
      <c r="F676" s="36"/>
      <c r="G676" s="37"/>
      <c r="H676" s="37"/>
      <c r="I676" s="37"/>
      <c r="J676" s="37"/>
      <c r="K676" s="36"/>
      <c r="L676" s="77"/>
      <c r="O676" s="36"/>
      <c r="P676" s="38"/>
      <c r="Q676" s="77"/>
    </row>
    <row r="677" ht="13.5" customHeight="1">
      <c r="A677" s="37"/>
      <c r="B677" s="37"/>
      <c r="C677" s="37"/>
      <c r="D677" s="37"/>
      <c r="E677" s="37"/>
      <c r="F677" s="36"/>
      <c r="G677" s="37"/>
      <c r="H677" s="37"/>
      <c r="I677" s="37"/>
      <c r="J677" s="37"/>
      <c r="K677" s="36"/>
      <c r="L677" s="77"/>
      <c r="O677" s="36"/>
      <c r="P677" s="38"/>
      <c r="Q677" s="77"/>
    </row>
    <row r="678" ht="13.5" customHeight="1">
      <c r="A678" s="37"/>
      <c r="B678" s="37"/>
      <c r="C678" s="37"/>
      <c r="D678" s="37"/>
      <c r="E678" s="37"/>
      <c r="F678" s="36"/>
      <c r="G678" s="37"/>
      <c r="H678" s="37"/>
      <c r="I678" s="37"/>
      <c r="J678" s="37"/>
      <c r="K678" s="36"/>
      <c r="L678" s="77"/>
      <c r="O678" s="36"/>
      <c r="P678" s="38"/>
      <c r="Q678" s="77"/>
    </row>
    <row r="679" ht="13.5" customHeight="1">
      <c r="A679" s="37"/>
      <c r="B679" s="37"/>
      <c r="C679" s="37"/>
      <c r="D679" s="37"/>
      <c r="E679" s="37"/>
      <c r="F679" s="36"/>
      <c r="G679" s="37"/>
      <c r="H679" s="37"/>
      <c r="I679" s="37"/>
      <c r="J679" s="37"/>
      <c r="K679" s="36"/>
      <c r="L679" s="77"/>
      <c r="O679" s="36"/>
      <c r="P679" s="38"/>
      <c r="Q679" s="77"/>
    </row>
    <row r="680" ht="13.5" customHeight="1">
      <c r="A680" s="37"/>
      <c r="B680" s="37"/>
      <c r="C680" s="37"/>
      <c r="D680" s="37"/>
      <c r="E680" s="37"/>
      <c r="F680" s="36"/>
      <c r="G680" s="37"/>
      <c r="H680" s="37"/>
      <c r="I680" s="37"/>
      <c r="J680" s="37"/>
      <c r="K680" s="36"/>
      <c r="L680" s="77"/>
      <c r="O680" s="36"/>
      <c r="P680" s="38"/>
      <c r="Q680" s="77"/>
    </row>
    <row r="681" ht="13.5" customHeight="1">
      <c r="A681" s="37"/>
      <c r="B681" s="37"/>
      <c r="C681" s="37"/>
      <c r="D681" s="37"/>
      <c r="E681" s="37"/>
      <c r="F681" s="36"/>
      <c r="G681" s="37"/>
      <c r="H681" s="37"/>
      <c r="I681" s="37"/>
      <c r="J681" s="37"/>
      <c r="K681" s="36"/>
      <c r="L681" s="77"/>
      <c r="O681" s="36"/>
      <c r="P681" s="38"/>
      <c r="Q681" s="77"/>
    </row>
    <row r="682" ht="13.5" customHeight="1">
      <c r="A682" s="37"/>
      <c r="B682" s="37"/>
      <c r="C682" s="37"/>
      <c r="D682" s="37"/>
      <c r="E682" s="37"/>
      <c r="F682" s="36"/>
      <c r="G682" s="37"/>
      <c r="H682" s="37"/>
      <c r="I682" s="37"/>
      <c r="J682" s="37"/>
      <c r="K682" s="36"/>
      <c r="L682" s="77"/>
      <c r="O682" s="36"/>
      <c r="P682" s="38"/>
      <c r="Q682" s="77"/>
    </row>
    <row r="683" ht="13.5" customHeight="1">
      <c r="A683" s="37"/>
      <c r="B683" s="37"/>
      <c r="C683" s="37"/>
      <c r="D683" s="37"/>
      <c r="E683" s="37"/>
      <c r="F683" s="36"/>
      <c r="G683" s="37"/>
      <c r="H683" s="37"/>
      <c r="I683" s="37"/>
      <c r="J683" s="37"/>
      <c r="K683" s="36"/>
      <c r="L683" s="77"/>
      <c r="O683" s="36"/>
      <c r="P683" s="38"/>
      <c r="Q683" s="77"/>
    </row>
    <row r="684" ht="13.5" customHeight="1">
      <c r="A684" s="37"/>
      <c r="B684" s="37"/>
      <c r="C684" s="37"/>
      <c r="D684" s="37"/>
      <c r="E684" s="37"/>
      <c r="F684" s="36"/>
      <c r="G684" s="37"/>
      <c r="H684" s="37"/>
      <c r="I684" s="37"/>
      <c r="J684" s="37"/>
      <c r="K684" s="36"/>
      <c r="L684" s="77"/>
      <c r="O684" s="36"/>
      <c r="P684" s="38"/>
      <c r="Q684" s="77"/>
    </row>
    <row r="685" ht="13.5" customHeight="1">
      <c r="A685" s="37"/>
      <c r="B685" s="37"/>
      <c r="C685" s="37"/>
      <c r="D685" s="37"/>
      <c r="E685" s="37"/>
      <c r="F685" s="36"/>
      <c r="G685" s="37"/>
      <c r="H685" s="37"/>
      <c r="I685" s="37"/>
      <c r="J685" s="37"/>
      <c r="K685" s="36"/>
      <c r="L685" s="77"/>
      <c r="O685" s="36"/>
      <c r="P685" s="38"/>
      <c r="Q685" s="77"/>
    </row>
    <row r="686" ht="13.5" customHeight="1">
      <c r="A686" s="37"/>
      <c r="B686" s="37"/>
      <c r="C686" s="37"/>
      <c r="D686" s="37"/>
      <c r="E686" s="37"/>
      <c r="F686" s="36"/>
      <c r="G686" s="37"/>
      <c r="H686" s="37"/>
      <c r="I686" s="37"/>
      <c r="J686" s="37"/>
      <c r="K686" s="36"/>
      <c r="L686" s="77"/>
      <c r="O686" s="36"/>
      <c r="P686" s="38"/>
      <c r="Q686" s="77"/>
    </row>
    <row r="687" ht="13.5" customHeight="1">
      <c r="A687" s="37"/>
      <c r="B687" s="37"/>
      <c r="C687" s="37"/>
      <c r="D687" s="37"/>
      <c r="E687" s="37"/>
      <c r="F687" s="36"/>
      <c r="G687" s="37"/>
      <c r="H687" s="37"/>
      <c r="I687" s="37"/>
      <c r="J687" s="37"/>
      <c r="K687" s="36"/>
      <c r="L687" s="77"/>
      <c r="O687" s="36"/>
      <c r="P687" s="38"/>
      <c r="Q687" s="77"/>
    </row>
    <row r="688" ht="13.5" customHeight="1">
      <c r="A688" s="37"/>
      <c r="B688" s="37"/>
      <c r="C688" s="37"/>
      <c r="D688" s="37"/>
      <c r="E688" s="37"/>
      <c r="F688" s="36"/>
      <c r="G688" s="37"/>
      <c r="H688" s="37"/>
      <c r="I688" s="37"/>
      <c r="J688" s="37"/>
      <c r="K688" s="36"/>
      <c r="L688" s="77"/>
      <c r="O688" s="36"/>
      <c r="P688" s="38"/>
      <c r="Q688" s="77"/>
    </row>
    <row r="689" ht="13.5" customHeight="1">
      <c r="A689" s="37"/>
      <c r="B689" s="37"/>
      <c r="C689" s="37"/>
      <c r="D689" s="37"/>
      <c r="E689" s="37"/>
      <c r="F689" s="36"/>
      <c r="G689" s="37"/>
      <c r="H689" s="37"/>
      <c r="I689" s="37"/>
      <c r="J689" s="37"/>
      <c r="K689" s="36"/>
      <c r="L689" s="77"/>
      <c r="O689" s="36"/>
      <c r="P689" s="38"/>
      <c r="Q689" s="77"/>
    </row>
    <row r="690" ht="13.5" customHeight="1">
      <c r="A690" s="37"/>
      <c r="B690" s="37"/>
      <c r="C690" s="37"/>
      <c r="D690" s="37"/>
      <c r="E690" s="37"/>
      <c r="F690" s="36"/>
      <c r="G690" s="37"/>
      <c r="H690" s="37"/>
      <c r="I690" s="37"/>
      <c r="J690" s="37"/>
      <c r="K690" s="36"/>
      <c r="L690" s="77"/>
      <c r="O690" s="36"/>
      <c r="P690" s="38"/>
      <c r="Q690" s="77"/>
    </row>
    <row r="691" ht="13.5" customHeight="1">
      <c r="A691" s="37"/>
      <c r="B691" s="37"/>
      <c r="C691" s="37"/>
      <c r="D691" s="37"/>
      <c r="E691" s="37"/>
      <c r="F691" s="36"/>
      <c r="G691" s="37"/>
      <c r="H691" s="37"/>
      <c r="I691" s="37"/>
      <c r="J691" s="37"/>
      <c r="K691" s="36"/>
      <c r="L691" s="77"/>
      <c r="O691" s="36"/>
      <c r="P691" s="38"/>
      <c r="Q691" s="77"/>
    </row>
    <row r="692" ht="13.5" customHeight="1">
      <c r="A692" s="37"/>
      <c r="B692" s="37"/>
      <c r="C692" s="37"/>
      <c r="D692" s="37"/>
      <c r="E692" s="37"/>
      <c r="F692" s="36"/>
      <c r="G692" s="37"/>
      <c r="H692" s="37"/>
      <c r="I692" s="37"/>
      <c r="J692" s="37"/>
      <c r="K692" s="36"/>
      <c r="L692" s="77"/>
      <c r="O692" s="36"/>
      <c r="P692" s="38"/>
      <c r="Q692" s="77"/>
    </row>
    <row r="693" ht="13.5" customHeight="1">
      <c r="A693" s="37"/>
      <c r="B693" s="37"/>
      <c r="C693" s="37"/>
      <c r="D693" s="37"/>
      <c r="E693" s="37"/>
      <c r="F693" s="36"/>
      <c r="G693" s="37"/>
      <c r="H693" s="37"/>
      <c r="I693" s="37"/>
      <c r="J693" s="37"/>
      <c r="K693" s="36"/>
      <c r="L693" s="77"/>
      <c r="O693" s="36"/>
      <c r="P693" s="38"/>
      <c r="Q693" s="77"/>
    </row>
    <row r="694" ht="13.5" customHeight="1">
      <c r="A694" s="37"/>
      <c r="B694" s="37"/>
      <c r="C694" s="37"/>
      <c r="D694" s="37"/>
      <c r="E694" s="37"/>
      <c r="F694" s="36"/>
      <c r="G694" s="37"/>
      <c r="H694" s="37"/>
      <c r="I694" s="37"/>
      <c r="J694" s="37"/>
      <c r="K694" s="36"/>
      <c r="L694" s="77"/>
      <c r="O694" s="36"/>
      <c r="P694" s="38"/>
      <c r="Q694" s="77"/>
    </row>
    <row r="695" ht="13.5" customHeight="1">
      <c r="A695" s="37"/>
      <c r="B695" s="37"/>
      <c r="C695" s="37"/>
      <c r="D695" s="37"/>
      <c r="E695" s="37"/>
      <c r="F695" s="36"/>
      <c r="G695" s="37"/>
      <c r="H695" s="37"/>
      <c r="I695" s="37"/>
      <c r="J695" s="37"/>
      <c r="K695" s="36"/>
      <c r="L695" s="77"/>
      <c r="O695" s="36"/>
      <c r="P695" s="38"/>
      <c r="Q695" s="77"/>
    </row>
    <row r="696" ht="13.5" customHeight="1">
      <c r="A696" s="37"/>
      <c r="B696" s="37"/>
      <c r="C696" s="37"/>
      <c r="D696" s="37"/>
      <c r="E696" s="37"/>
      <c r="F696" s="36"/>
      <c r="G696" s="37"/>
      <c r="H696" s="37"/>
      <c r="I696" s="37"/>
      <c r="J696" s="37"/>
      <c r="K696" s="36"/>
      <c r="L696" s="77"/>
      <c r="O696" s="36"/>
      <c r="P696" s="38"/>
      <c r="Q696" s="77"/>
    </row>
    <row r="697" ht="13.5" customHeight="1">
      <c r="A697" s="37"/>
      <c r="B697" s="37"/>
      <c r="C697" s="37"/>
      <c r="D697" s="37"/>
      <c r="E697" s="37"/>
      <c r="F697" s="36"/>
      <c r="G697" s="37"/>
      <c r="H697" s="37"/>
      <c r="I697" s="37"/>
      <c r="J697" s="37"/>
      <c r="K697" s="36"/>
      <c r="L697" s="77"/>
      <c r="O697" s="36"/>
      <c r="P697" s="38"/>
      <c r="Q697" s="77"/>
    </row>
    <row r="698" ht="13.5" customHeight="1">
      <c r="A698" s="37"/>
      <c r="B698" s="37"/>
      <c r="C698" s="37"/>
      <c r="D698" s="37"/>
      <c r="E698" s="37"/>
      <c r="F698" s="36"/>
      <c r="G698" s="37"/>
      <c r="H698" s="37"/>
      <c r="I698" s="37"/>
      <c r="J698" s="37"/>
      <c r="K698" s="36"/>
      <c r="L698" s="77"/>
      <c r="O698" s="36"/>
      <c r="P698" s="38"/>
      <c r="Q698" s="77"/>
    </row>
    <row r="699" ht="13.5" customHeight="1">
      <c r="A699" s="37"/>
      <c r="B699" s="37"/>
      <c r="C699" s="37"/>
      <c r="D699" s="37"/>
      <c r="E699" s="37"/>
      <c r="F699" s="36"/>
      <c r="G699" s="37"/>
      <c r="H699" s="37"/>
      <c r="I699" s="37"/>
      <c r="J699" s="37"/>
      <c r="K699" s="36"/>
      <c r="L699" s="77"/>
      <c r="O699" s="36"/>
      <c r="P699" s="38"/>
      <c r="Q699" s="77"/>
    </row>
    <row r="700" ht="13.5" customHeight="1">
      <c r="A700" s="37"/>
      <c r="B700" s="37"/>
      <c r="C700" s="37"/>
      <c r="D700" s="37"/>
      <c r="E700" s="37"/>
      <c r="F700" s="36"/>
      <c r="G700" s="37"/>
      <c r="H700" s="37"/>
      <c r="I700" s="37"/>
      <c r="J700" s="37"/>
      <c r="K700" s="36"/>
      <c r="L700" s="77"/>
      <c r="O700" s="36"/>
      <c r="P700" s="38"/>
      <c r="Q700" s="77"/>
    </row>
    <row r="701" ht="13.5" customHeight="1">
      <c r="A701" s="37"/>
      <c r="B701" s="37"/>
      <c r="C701" s="37"/>
      <c r="D701" s="37"/>
      <c r="E701" s="37"/>
      <c r="F701" s="36"/>
      <c r="G701" s="37"/>
      <c r="H701" s="37"/>
      <c r="I701" s="37"/>
      <c r="J701" s="37"/>
      <c r="K701" s="36"/>
      <c r="L701" s="77"/>
      <c r="O701" s="36"/>
      <c r="P701" s="38"/>
      <c r="Q701" s="77"/>
    </row>
    <row r="702" ht="13.5" customHeight="1">
      <c r="A702" s="37"/>
      <c r="B702" s="37"/>
      <c r="C702" s="37"/>
      <c r="D702" s="37"/>
      <c r="E702" s="37"/>
      <c r="F702" s="36"/>
      <c r="G702" s="37"/>
      <c r="H702" s="37"/>
      <c r="I702" s="37"/>
      <c r="J702" s="37"/>
      <c r="K702" s="36"/>
      <c r="L702" s="77"/>
      <c r="O702" s="36"/>
      <c r="P702" s="38"/>
      <c r="Q702" s="77"/>
    </row>
    <row r="703" ht="13.5" customHeight="1">
      <c r="A703" s="37"/>
      <c r="B703" s="37"/>
      <c r="C703" s="37"/>
      <c r="D703" s="37"/>
      <c r="E703" s="37"/>
      <c r="F703" s="36"/>
      <c r="G703" s="37"/>
      <c r="H703" s="37"/>
      <c r="I703" s="37"/>
      <c r="J703" s="37"/>
      <c r="K703" s="36"/>
      <c r="L703" s="77"/>
      <c r="O703" s="36"/>
      <c r="P703" s="38"/>
      <c r="Q703" s="77"/>
    </row>
    <row r="704" ht="13.5" customHeight="1">
      <c r="A704" s="37"/>
      <c r="B704" s="37"/>
      <c r="C704" s="37"/>
      <c r="D704" s="37"/>
      <c r="E704" s="37"/>
      <c r="F704" s="36"/>
      <c r="G704" s="37"/>
      <c r="H704" s="37"/>
      <c r="I704" s="37"/>
      <c r="J704" s="37"/>
      <c r="K704" s="36"/>
      <c r="L704" s="77"/>
      <c r="O704" s="36"/>
      <c r="P704" s="38"/>
      <c r="Q704" s="77"/>
    </row>
    <row r="705" ht="13.5" customHeight="1">
      <c r="A705" s="37"/>
      <c r="B705" s="37"/>
      <c r="C705" s="37"/>
      <c r="D705" s="37"/>
      <c r="E705" s="37"/>
      <c r="F705" s="36"/>
      <c r="G705" s="37"/>
      <c r="H705" s="37"/>
      <c r="I705" s="37"/>
      <c r="J705" s="37"/>
      <c r="K705" s="36"/>
      <c r="L705" s="77"/>
      <c r="O705" s="36"/>
      <c r="P705" s="38"/>
      <c r="Q705" s="77"/>
    </row>
    <row r="706" ht="13.5" customHeight="1">
      <c r="A706" s="37"/>
      <c r="B706" s="37"/>
      <c r="C706" s="37"/>
      <c r="D706" s="37"/>
      <c r="E706" s="37"/>
      <c r="F706" s="36"/>
      <c r="G706" s="37"/>
      <c r="H706" s="37"/>
      <c r="I706" s="37"/>
      <c r="J706" s="37"/>
      <c r="K706" s="36"/>
      <c r="L706" s="77"/>
      <c r="O706" s="36"/>
      <c r="P706" s="38"/>
      <c r="Q706" s="77"/>
    </row>
    <row r="707" ht="13.5" customHeight="1">
      <c r="A707" s="37"/>
      <c r="B707" s="37"/>
      <c r="C707" s="37"/>
      <c r="D707" s="37"/>
      <c r="E707" s="37"/>
      <c r="F707" s="36"/>
      <c r="G707" s="37"/>
      <c r="H707" s="37"/>
      <c r="I707" s="37"/>
      <c r="J707" s="37"/>
      <c r="K707" s="36"/>
      <c r="L707" s="77"/>
      <c r="O707" s="36"/>
      <c r="P707" s="38"/>
      <c r="Q707" s="77"/>
    </row>
    <row r="708" ht="13.5" customHeight="1">
      <c r="A708" s="37"/>
      <c r="B708" s="37"/>
      <c r="C708" s="37"/>
      <c r="D708" s="37"/>
      <c r="E708" s="37"/>
      <c r="F708" s="36"/>
      <c r="G708" s="37"/>
      <c r="H708" s="37"/>
      <c r="I708" s="37"/>
      <c r="J708" s="37"/>
      <c r="K708" s="36"/>
      <c r="L708" s="77"/>
      <c r="O708" s="36"/>
      <c r="P708" s="38"/>
      <c r="Q708" s="77"/>
    </row>
    <row r="709" ht="13.5" customHeight="1">
      <c r="A709" s="37"/>
      <c r="B709" s="37"/>
      <c r="C709" s="37"/>
      <c r="D709" s="37"/>
      <c r="E709" s="37"/>
      <c r="F709" s="36"/>
      <c r="G709" s="37"/>
      <c r="H709" s="37"/>
      <c r="I709" s="37"/>
      <c r="J709" s="37"/>
      <c r="K709" s="36"/>
      <c r="L709" s="77"/>
      <c r="O709" s="36"/>
      <c r="P709" s="38"/>
      <c r="Q709" s="77"/>
    </row>
    <row r="710" ht="13.5" customHeight="1">
      <c r="A710" s="37"/>
      <c r="B710" s="37"/>
      <c r="C710" s="37"/>
      <c r="D710" s="37"/>
      <c r="E710" s="37"/>
      <c r="F710" s="36"/>
      <c r="G710" s="37"/>
      <c r="H710" s="37"/>
      <c r="I710" s="37"/>
      <c r="J710" s="37"/>
      <c r="K710" s="36"/>
      <c r="L710" s="77"/>
      <c r="O710" s="36"/>
      <c r="P710" s="38"/>
      <c r="Q710" s="77"/>
    </row>
    <row r="711" ht="13.5" customHeight="1">
      <c r="A711" s="37"/>
      <c r="B711" s="37"/>
      <c r="C711" s="37"/>
      <c r="D711" s="37"/>
      <c r="E711" s="37"/>
      <c r="F711" s="36"/>
      <c r="G711" s="37"/>
      <c r="H711" s="37"/>
      <c r="I711" s="37"/>
      <c r="J711" s="37"/>
      <c r="K711" s="36"/>
      <c r="L711" s="77"/>
      <c r="O711" s="36"/>
      <c r="P711" s="38"/>
      <c r="Q711" s="77"/>
    </row>
    <row r="712" ht="13.5" customHeight="1">
      <c r="A712" s="37"/>
      <c r="B712" s="37"/>
      <c r="C712" s="37"/>
      <c r="D712" s="37"/>
      <c r="E712" s="37"/>
      <c r="F712" s="36"/>
      <c r="G712" s="37"/>
      <c r="H712" s="37"/>
      <c r="I712" s="37"/>
      <c r="J712" s="37"/>
      <c r="K712" s="36"/>
      <c r="L712" s="77"/>
      <c r="O712" s="36"/>
      <c r="P712" s="38"/>
      <c r="Q712" s="77"/>
    </row>
    <row r="713" ht="13.5" customHeight="1">
      <c r="A713" s="37"/>
      <c r="B713" s="37"/>
      <c r="C713" s="37"/>
      <c r="D713" s="37"/>
      <c r="E713" s="37"/>
      <c r="F713" s="36"/>
      <c r="G713" s="37"/>
      <c r="H713" s="37"/>
      <c r="I713" s="37"/>
      <c r="J713" s="37"/>
      <c r="K713" s="36"/>
      <c r="L713" s="77"/>
      <c r="O713" s="36"/>
      <c r="P713" s="38"/>
      <c r="Q713" s="77"/>
    </row>
    <row r="714" ht="13.5" customHeight="1">
      <c r="A714" s="37"/>
      <c r="B714" s="37"/>
      <c r="C714" s="37"/>
      <c r="D714" s="37"/>
      <c r="E714" s="37"/>
      <c r="F714" s="36"/>
      <c r="G714" s="37"/>
      <c r="H714" s="37"/>
      <c r="I714" s="37"/>
      <c r="J714" s="37"/>
      <c r="K714" s="36"/>
      <c r="L714" s="77"/>
      <c r="O714" s="36"/>
      <c r="P714" s="38"/>
      <c r="Q714" s="77"/>
    </row>
    <row r="715" ht="13.5" customHeight="1">
      <c r="A715" s="37"/>
      <c r="B715" s="37"/>
      <c r="C715" s="37"/>
      <c r="D715" s="37"/>
      <c r="E715" s="37"/>
      <c r="F715" s="36"/>
      <c r="G715" s="37"/>
      <c r="H715" s="37"/>
      <c r="I715" s="37"/>
      <c r="J715" s="37"/>
      <c r="K715" s="36"/>
      <c r="L715" s="77"/>
      <c r="O715" s="36"/>
      <c r="P715" s="38"/>
      <c r="Q715" s="77"/>
    </row>
    <row r="716" ht="13.5" customHeight="1">
      <c r="A716" s="37"/>
      <c r="B716" s="37"/>
      <c r="C716" s="37"/>
      <c r="D716" s="37"/>
      <c r="E716" s="37"/>
      <c r="F716" s="36"/>
      <c r="G716" s="37"/>
      <c r="H716" s="37"/>
      <c r="I716" s="37"/>
      <c r="J716" s="37"/>
      <c r="K716" s="36"/>
      <c r="L716" s="77"/>
      <c r="O716" s="36"/>
      <c r="P716" s="38"/>
      <c r="Q716" s="77"/>
    </row>
    <row r="717" ht="13.5" customHeight="1">
      <c r="A717" s="37"/>
      <c r="B717" s="37"/>
      <c r="C717" s="37"/>
      <c r="D717" s="37"/>
      <c r="E717" s="37"/>
      <c r="F717" s="36"/>
      <c r="G717" s="37"/>
      <c r="H717" s="37"/>
      <c r="I717" s="37"/>
      <c r="J717" s="37"/>
      <c r="K717" s="36"/>
      <c r="L717" s="77"/>
      <c r="O717" s="36"/>
      <c r="P717" s="38"/>
      <c r="Q717" s="77"/>
    </row>
    <row r="718" ht="13.5" customHeight="1">
      <c r="A718" s="37"/>
      <c r="B718" s="37"/>
      <c r="C718" s="37"/>
      <c r="D718" s="37"/>
      <c r="E718" s="37"/>
      <c r="F718" s="36"/>
      <c r="G718" s="37"/>
      <c r="H718" s="37"/>
      <c r="I718" s="37"/>
      <c r="J718" s="37"/>
      <c r="K718" s="36"/>
      <c r="L718" s="77"/>
      <c r="O718" s="36"/>
      <c r="P718" s="38"/>
      <c r="Q718" s="77"/>
    </row>
    <row r="719" ht="13.5" customHeight="1">
      <c r="A719" s="37"/>
      <c r="B719" s="37"/>
      <c r="C719" s="37"/>
      <c r="D719" s="37"/>
      <c r="E719" s="37"/>
      <c r="F719" s="36"/>
      <c r="G719" s="37"/>
      <c r="H719" s="37"/>
      <c r="I719" s="37"/>
      <c r="J719" s="37"/>
      <c r="K719" s="36"/>
      <c r="L719" s="77"/>
      <c r="O719" s="36"/>
      <c r="P719" s="38"/>
      <c r="Q719" s="77"/>
    </row>
    <row r="720" ht="13.5" customHeight="1">
      <c r="A720" s="37"/>
      <c r="B720" s="37"/>
      <c r="C720" s="37"/>
      <c r="D720" s="37"/>
      <c r="E720" s="37"/>
      <c r="F720" s="36"/>
      <c r="G720" s="37"/>
      <c r="H720" s="37"/>
      <c r="I720" s="37"/>
      <c r="J720" s="37"/>
      <c r="K720" s="36"/>
      <c r="L720" s="77"/>
      <c r="O720" s="36"/>
      <c r="P720" s="38"/>
      <c r="Q720" s="77"/>
    </row>
    <row r="721" ht="13.5" customHeight="1">
      <c r="A721" s="37"/>
      <c r="B721" s="37"/>
      <c r="C721" s="37"/>
      <c r="D721" s="37"/>
      <c r="E721" s="37"/>
      <c r="F721" s="36"/>
      <c r="G721" s="37"/>
      <c r="H721" s="37"/>
      <c r="I721" s="37"/>
      <c r="J721" s="37"/>
      <c r="K721" s="36"/>
      <c r="L721" s="77"/>
      <c r="O721" s="36"/>
      <c r="P721" s="38"/>
      <c r="Q721" s="77"/>
    </row>
    <row r="722" ht="13.5" customHeight="1">
      <c r="A722" s="37"/>
      <c r="B722" s="37"/>
      <c r="C722" s="37"/>
      <c r="D722" s="37"/>
      <c r="E722" s="37"/>
      <c r="F722" s="36"/>
      <c r="G722" s="37"/>
      <c r="H722" s="37"/>
      <c r="I722" s="37"/>
      <c r="J722" s="37"/>
      <c r="K722" s="36"/>
      <c r="L722" s="77"/>
      <c r="O722" s="36"/>
      <c r="P722" s="38"/>
      <c r="Q722" s="77"/>
    </row>
    <row r="723" ht="13.5" customHeight="1">
      <c r="A723" s="37"/>
      <c r="B723" s="37"/>
      <c r="C723" s="37"/>
      <c r="D723" s="37"/>
      <c r="E723" s="37"/>
      <c r="F723" s="36"/>
      <c r="G723" s="37"/>
      <c r="H723" s="37"/>
      <c r="I723" s="37"/>
      <c r="J723" s="37"/>
      <c r="K723" s="36"/>
      <c r="L723" s="77"/>
      <c r="O723" s="36"/>
      <c r="P723" s="38"/>
      <c r="Q723" s="77"/>
    </row>
    <row r="724" ht="13.5" customHeight="1">
      <c r="A724" s="37"/>
      <c r="B724" s="37"/>
      <c r="C724" s="37"/>
      <c r="D724" s="37"/>
      <c r="E724" s="37"/>
      <c r="F724" s="36"/>
      <c r="G724" s="37"/>
      <c r="H724" s="37"/>
      <c r="I724" s="37"/>
      <c r="J724" s="37"/>
      <c r="K724" s="36"/>
      <c r="L724" s="77"/>
      <c r="O724" s="36"/>
      <c r="P724" s="38"/>
      <c r="Q724" s="77"/>
    </row>
    <row r="725" ht="13.5" customHeight="1">
      <c r="A725" s="37"/>
      <c r="B725" s="37"/>
      <c r="C725" s="37"/>
      <c r="D725" s="37"/>
      <c r="E725" s="37"/>
      <c r="F725" s="36"/>
      <c r="G725" s="37"/>
      <c r="H725" s="37"/>
      <c r="I725" s="37"/>
      <c r="J725" s="37"/>
      <c r="K725" s="36"/>
      <c r="L725" s="77"/>
      <c r="O725" s="36"/>
      <c r="P725" s="38"/>
      <c r="Q725" s="77"/>
    </row>
    <row r="726" ht="13.5" customHeight="1">
      <c r="A726" s="37"/>
      <c r="B726" s="37"/>
      <c r="C726" s="37"/>
      <c r="D726" s="37"/>
      <c r="E726" s="37"/>
      <c r="F726" s="36"/>
      <c r="G726" s="37"/>
      <c r="H726" s="37"/>
      <c r="I726" s="37"/>
      <c r="J726" s="37"/>
      <c r="K726" s="36"/>
      <c r="L726" s="77"/>
      <c r="O726" s="36"/>
      <c r="P726" s="38"/>
      <c r="Q726" s="77"/>
    </row>
    <row r="727" ht="13.5" customHeight="1">
      <c r="A727" s="37"/>
      <c r="B727" s="37"/>
      <c r="C727" s="37"/>
      <c r="D727" s="37"/>
      <c r="E727" s="37"/>
      <c r="F727" s="36"/>
      <c r="G727" s="37"/>
      <c r="H727" s="37"/>
      <c r="I727" s="37"/>
      <c r="J727" s="37"/>
      <c r="K727" s="36"/>
      <c r="L727" s="77"/>
      <c r="O727" s="36"/>
      <c r="P727" s="38"/>
      <c r="Q727" s="77"/>
    </row>
    <row r="728" ht="13.5" customHeight="1">
      <c r="A728" s="37"/>
      <c r="B728" s="37"/>
      <c r="C728" s="37"/>
      <c r="D728" s="37"/>
      <c r="E728" s="37"/>
      <c r="F728" s="36"/>
      <c r="G728" s="37"/>
      <c r="H728" s="37"/>
      <c r="I728" s="37"/>
      <c r="J728" s="37"/>
      <c r="K728" s="36"/>
      <c r="L728" s="77"/>
      <c r="O728" s="36"/>
      <c r="P728" s="38"/>
      <c r="Q728" s="77"/>
    </row>
    <row r="729" ht="13.5" customHeight="1">
      <c r="A729" s="37"/>
      <c r="B729" s="37"/>
      <c r="C729" s="37"/>
      <c r="D729" s="37"/>
      <c r="E729" s="37"/>
      <c r="F729" s="36"/>
      <c r="G729" s="37"/>
      <c r="H729" s="37"/>
      <c r="I729" s="37"/>
      <c r="J729" s="37"/>
      <c r="K729" s="36"/>
      <c r="L729" s="77"/>
      <c r="O729" s="36"/>
      <c r="P729" s="38"/>
      <c r="Q729" s="77"/>
    </row>
    <row r="730" ht="13.5" customHeight="1">
      <c r="A730" s="37"/>
      <c r="B730" s="37"/>
      <c r="C730" s="37"/>
      <c r="D730" s="37"/>
      <c r="E730" s="37"/>
      <c r="F730" s="36"/>
      <c r="G730" s="37"/>
      <c r="H730" s="37"/>
      <c r="I730" s="37"/>
      <c r="J730" s="37"/>
      <c r="K730" s="36"/>
      <c r="L730" s="77"/>
      <c r="O730" s="36"/>
      <c r="P730" s="38"/>
      <c r="Q730" s="77"/>
    </row>
    <row r="731" ht="13.5" customHeight="1">
      <c r="A731" s="37"/>
      <c r="B731" s="37"/>
      <c r="C731" s="37"/>
      <c r="D731" s="37"/>
      <c r="E731" s="37"/>
      <c r="F731" s="36"/>
      <c r="G731" s="37"/>
      <c r="H731" s="37"/>
      <c r="I731" s="37"/>
      <c r="J731" s="37"/>
      <c r="K731" s="36"/>
      <c r="L731" s="77"/>
      <c r="O731" s="36"/>
      <c r="P731" s="38"/>
      <c r="Q731" s="77"/>
    </row>
    <row r="732" ht="13.5" customHeight="1">
      <c r="A732" s="37"/>
      <c r="B732" s="37"/>
      <c r="C732" s="37"/>
      <c r="D732" s="37"/>
      <c r="E732" s="37"/>
      <c r="F732" s="36"/>
      <c r="G732" s="37"/>
      <c r="H732" s="37"/>
      <c r="I732" s="37"/>
      <c r="J732" s="37"/>
      <c r="K732" s="36"/>
      <c r="L732" s="77"/>
      <c r="O732" s="36"/>
      <c r="P732" s="38"/>
      <c r="Q732" s="77"/>
    </row>
    <row r="733" ht="13.5" customHeight="1">
      <c r="A733" s="37"/>
      <c r="B733" s="37"/>
      <c r="C733" s="37"/>
      <c r="D733" s="37"/>
      <c r="E733" s="37"/>
      <c r="F733" s="36"/>
      <c r="G733" s="37"/>
      <c r="H733" s="37"/>
      <c r="I733" s="37"/>
      <c r="J733" s="37"/>
      <c r="K733" s="36"/>
      <c r="L733" s="77"/>
      <c r="O733" s="36"/>
      <c r="P733" s="38"/>
      <c r="Q733" s="77"/>
    </row>
    <row r="734" ht="13.5" customHeight="1">
      <c r="A734" s="37"/>
      <c r="B734" s="37"/>
      <c r="C734" s="37"/>
      <c r="D734" s="37"/>
      <c r="E734" s="37"/>
      <c r="F734" s="36"/>
      <c r="G734" s="37"/>
      <c r="H734" s="37"/>
      <c r="I734" s="37"/>
      <c r="J734" s="37"/>
      <c r="K734" s="36"/>
      <c r="L734" s="77"/>
      <c r="O734" s="36"/>
      <c r="P734" s="38"/>
      <c r="Q734" s="77"/>
    </row>
    <row r="735" ht="13.5" customHeight="1">
      <c r="A735" s="37"/>
      <c r="B735" s="37"/>
      <c r="C735" s="37"/>
      <c r="D735" s="37"/>
      <c r="E735" s="37"/>
      <c r="F735" s="36"/>
      <c r="G735" s="37"/>
      <c r="H735" s="37"/>
      <c r="I735" s="37"/>
      <c r="J735" s="37"/>
      <c r="K735" s="36"/>
      <c r="L735" s="77"/>
      <c r="O735" s="36"/>
      <c r="P735" s="38"/>
      <c r="Q735" s="77"/>
    </row>
    <row r="736" ht="13.5" customHeight="1">
      <c r="A736" s="37"/>
      <c r="B736" s="37"/>
      <c r="C736" s="37"/>
      <c r="D736" s="37"/>
      <c r="E736" s="37"/>
      <c r="F736" s="36"/>
      <c r="G736" s="37"/>
      <c r="H736" s="37"/>
      <c r="I736" s="37"/>
      <c r="J736" s="37"/>
      <c r="K736" s="36"/>
      <c r="L736" s="77"/>
      <c r="O736" s="36"/>
      <c r="P736" s="38"/>
      <c r="Q736" s="77"/>
    </row>
    <row r="737" ht="13.5" customHeight="1">
      <c r="A737" s="37"/>
      <c r="B737" s="37"/>
      <c r="C737" s="37"/>
      <c r="D737" s="37"/>
      <c r="E737" s="37"/>
      <c r="F737" s="36"/>
      <c r="G737" s="37"/>
      <c r="H737" s="37"/>
      <c r="I737" s="37"/>
      <c r="J737" s="37"/>
      <c r="K737" s="36"/>
      <c r="L737" s="77"/>
      <c r="O737" s="36"/>
      <c r="P737" s="38"/>
      <c r="Q737" s="77"/>
    </row>
    <row r="738" ht="13.5" customHeight="1">
      <c r="A738" s="37"/>
      <c r="B738" s="37"/>
      <c r="C738" s="37"/>
      <c r="D738" s="37"/>
      <c r="E738" s="37"/>
      <c r="F738" s="36"/>
      <c r="G738" s="37"/>
      <c r="H738" s="37"/>
      <c r="I738" s="37"/>
      <c r="J738" s="37"/>
      <c r="K738" s="36"/>
      <c r="L738" s="77"/>
      <c r="O738" s="36"/>
      <c r="P738" s="38"/>
      <c r="Q738" s="77"/>
    </row>
    <row r="739" ht="13.5" customHeight="1">
      <c r="A739" s="37"/>
      <c r="B739" s="37"/>
      <c r="C739" s="37"/>
      <c r="D739" s="37"/>
      <c r="E739" s="37"/>
      <c r="F739" s="36"/>
      <c r="G739" s="37"/>
      <c r="H739" s="37"/>
      <c r="I739" s="37"/>
      <c r="J739" s="37"/>
      <c r="K739" s="36"/>
      <c r="L739" s="77"/>
      <c r="O739" s="36"/>
      <c r="P739" s="38"/>
      <c r="Q739" s="77"/>
    </row>
    <row r="740" ht="13.5" customHeight="1">
      <c r="A740" s="37"/>
      <c r="B740" s="37"/>
      <c r="C740" s="37"/>
      <c r="D740" s="37"/>
      <c r="E740" s="37"/>
      <c r="F740" s="36"/>
      <c r="G740" s="37"/>
      <c r="H740" s="37"/>
      <c r="I740" s="37"/>
      <c r="J740" s="37"/>
      <c r="K740" s="36"/>
      <c r="L740" s="77"/>
      <c r="O740" s="36"/>
      <c r="P740" s="38"/>
      <c r="Q740" s="77"/>
    </row>
    <row r="741" ht="13.5" customHeight="1">
      <c r="A741" s="37"/>
      <c r="B741" s="37"/>
      <c r="C741" s="37"/>
      <c r="D741" s="37"/>
      <c r="E741" s="37"/>
      <c r="F741" s="36"/>
      <c r="G741" s="37"/>
      <c r="H741" s="37"/>
      <c r="I741" s="37"/>
      <c r="J741" s="37"/>
      <c r="K741" s="36"/>
      <c r="L741" s="77"/>
      <c r="O741" s="36"/>
      <c r="P741" s="38"/>
      <c r="Q741" s="77"/>
    </row>
    <row r="742" ht="13.5" customHeight="1">
      <c r="A742" s="37"/>
      <c r="B742" s="37"/>
      <c r="C742" s="37"/>
      <c r="D742" s="37"/>
      <c r="E742" s="37"/>
      <c r="F742" s="36"/>
      <c r="G742" s="37"/>
      <c r="H742" s="37"/>
      <c r="I742" s="37"/>
      <c r="J742" s="37"/>
      <c r="K742" s="36"/>
      <c r="L742" s="77"/>
      <c r="O742" s="36"/>
      <c r="P742" s="38"/>
      <c r="Q742" s="77"/>
    </row>
    <row r="743" ht="13.5" customHeight="1">
      <c r="A743" s="37"/>
      <c r="B743" s="37"/>
      <c r="C743" s="37"/>
      <c r="D743" s="37"/>
      <c r="E743" s="37"/>
      <c r="F743" s="36"/>
      <c r="G743" s="37"/>
      <c r="H743" s="37"/>
      <c r="I743" s="37"/>
      <c r="J743" s="37"/>
      <c r="K743" s="36"/>
      <c r="L743" s="77"/>
      <c r="O743" s="36"/>
      <c r="P743" s="38"/>
      <c r="Q743" s="77"/>
    </row>
    <row r="744" ht="13.5" customHeight="1">
      <c r="A744" s="37"/>
      <c r="B744" s="37"/>
      <c r="C744" s="37"/>
      <c r="D744" s="37"/>
      <c r="E744" s="37"/>
      <c r="F744" s="36"/>
      <c r="G744" s="37"/>
      <c r="H744" s="37"/>
      <c r="I744" s="37"/>
      <c r="J744" s="37"/>
      <c r="K744" s="36"/>
      <c r="L744" s="77"/>
      <c r="O744" s="36"/>
      <c r="P744" s="38"/>
      <c r="Q744" s="77"/>
    </row>
    <row r="745" ht="13.5" customHeight="1">
      <c r="A745" s="37"/>
      <c r="B745" s="37"/>
      <c r="C745" s="37"/>
      <c r="D745" s="37"/>
      <c r="E745" s="37"/>
      <c r="F745" s="36"/>
      <c r="G745" s="37"/>
      <c r="H745" s="37"/>
      <c r="I745" s="37"/>
      <c r="J745" s="37"/>
      <c r="K745" s="36"/>
      <c r="L745" s="77"/>
      <c r="O745" s="36"/>
      <c r="P745" s="38"/>
      <c r="Q745" s="77"/>
    </row>
    <row r="746" ht="13.5" customHeight="1">
      <c r="A746" s="37"/>
      <c r="B746" s="37"/>
      <c r="C746" s="37"/>
      <c r="D746" s="37"/>
      <c r="E746" s="37"/>
      <c r="F746" s="36"/>
      <c r="G746" s="37"/>
      <c r="H746" s="37"/>
      <c r="I746" s="37"/>
      <c r="J746" s="37"/>
      <c r="K746" s="36"/>
      <c r="L746" s="77"/>
      <c r="O746" s="36"/>
      <c r="P746" s="38"/>
      <c r="Q746" s="77"/>
    </row>
    <row r="747" ht="13.5" customHeight="1">
      <c r="A747" s="37"/>
      <c r="B747" s="37"/>
      <c r="C747" s="37"/>
      <c r="D747" s="37"/>
      <c r="E747" s="37"/>
      <c r="F747" s="36"/>
      <c r="G747" s="37"/>
      <c r="H747" s="37"/>
      <c r="I747" s="37"/>
      <c r="J747" s="37"/>
      <c r="K747" s="36"/>
      <c r="L747" s="77"/>
      <c r="O747" s="36"/>
      <c r="P747" s="38"/>
      <c r="Q747" s="77"/>
    </row>
    <row r="748" ht="13.5" customHeight="1">
      <c r="A748" s="37"/>
      <c r="B748" s="37"/>
      <c r="C748" s="37"/>
      <c r="D748" s="37"/>
      <c r="E748" s="37"/>
      <c r="F748" s="36"/>
      <c r="G748" s="37"/>
      <c r="H748" s="37"/>
      <c r="I748" s="37"/>
      <c r="J748" s="37"/>
      <c r="K748" s="36"/>
      <c r="L748" s="77"/>
      <c r="O748" s="36"/>
      <c r="P748" s="38"/>
      <c r="Q748" s="77"/>
    </row>
    <row r="749" ht="13.5" customHeight="1">
      <c r="A749" s="37"/>
      <c r="B749" s="37"/>
      <c r="C749" s="37"/>
      <c r="D749" s="37"/>
      <c r="E749" s="37"/>
      <c r="F749" s="36"/>
      <c r="G749" s="37"/>
      <c r="H749" s="37"/>
      <c r="I749" s="37"/>
      <c r="J749" s="37"/>
      <c r="K749" s="36"/>
      <c r="L749" s="77"/>
      <c r="O749" s="36"/>
      <c r="P749" s="38"/>
      <c r="Q749" s="77"/>
    </row>
    <row r="750" ht="13.5" customHeight="1">
      <c r="A750" s="37"/>
      <c r="B750" s="37"/>
      <c r="C750" s="37"/>
      <c r="D750" s="37"/>
      <c r="E750" s="37"/>
      <c r="F750" s="36"/>
      <c r="G750" s="37"/>
      <c r="H750" s="37"/>
      <c r="I750" s="37"/>
      <c r="J750" s="37"/>
      <c r="K750" s="36"/>
      <c r="L750" s="77"/>
      <c r="O750" s="36"/>
      <c r="P750" s="38"/>
      <c r="Q750" s="77"/>
    </row>
    <row r="751" ht="13.5" customHeight="1">
      <c r="A751" s="37"/>
      <c r="B751" s="37"/>
      <c r="C751" s="37"/>
      <c r="D751" s="37"/>
      <c r="E751" s="37"/>
      <c r="F751" s="36"/>
      <c r="G751" s="37"/>
      <c r="H751" s="37"/>
      <c r="I751" s="37"/>
      <c r="J751" s="37"/>
      <c r="K751" s="36"/>
      <c r="L751" s="77"/>
      <c r="O751" s="36"/>
      <c r="P751" s="38"/>
      <c r="Q751" s="77"/>
    </row>
    <row r="752" ht="13.5" customHeight="1">
      <c r="A752" s="37"/>
      <c r="B752" s="37"/>
      <c r="C752" s="37"/>
      <c r="D752" s="37"/>
      <c r="E752" s="37"/>
      <c r="F752" s="36"/>
      <c r="G752" s="37"/>
      <c r="H752" s="37"/>
      <c r="I752" s="37"/>
      <c r="J752" s="37"/>
      <c r="K752" s="36"/>
      <c r="L752" s="77"/>
      <c r="O752" s="36"/>
      <c r="P752" s="38"/>
      <c r="Q752" s="77"/>
    </row>
    <row r="753" ht="13.5" customHeight="1">
      <c r="A753" s="37"/>
      <c r="B753" s="37"/>
      <c r="C753" s="37"/>
      <c r="D753" s="37"/>
      <c r="E753" s="37"/>
      <c r="F753" s="36"/>
      <c r="G753" s="37"/>
      <c r="H753" s="37"/>
      <c r="I753" s="37"/>
      <c r="J753" s="37"/>
      <c r="K753" s="36"/>
      <c r="L753" s="77"/>
      <c r="O753" s="36"/>
      <c r="P753" s="38"/>
      <c r="Q753" s="77"/>
    </row>
    <row r="754" ht="13.5" customHeight="1">
      <c r="A754" s="37"/>
      <c r="B754" s="37"/>
      <c r="C754" s="37"/>
      <c r="D754" s="37"/>
      <c r="E754" s="37"/>
      <c r="F754" s="36"/>
      <c r="G754" s="37"/>
      <c r="H754" s="37"/>
      <c r="I754" s="37"/>
      <c r="J754" s="37"/>
      <c r="K754" s="36"/>
      <c r="L754" s="77"/>
      <c r="O754" s="36"/>
      <c r="P754" s="38"/>
      <c r="Q754" s="77"/>
    </row>
    <row r="755" ht="13.5" customHeight="1">
      <c r="A755" s="37"/>
      <c r="B755" s="37"/>
      <c r="C755" s="37"/>
      <c r="D755" s="37"/>
      <c r="E755" s="37"/>
      <c r="F755" s="36"/>
      <c r="G755" s="37"/>
      <c r="H755" s="37"/>
      <c r="I755" s="37"/>
      <c r="J755" s="37"/>
      <c r="K755" s="36"/>
      <c r="L755" s="77"/>
      <c r="O755" s="36"/>
      <c r="P755" s="38"/>
      <c r="Q755" s="77"/>
    </row>
    <row r="756" ht="13.5" customHeight="1">
      <c r="A756" s="37"/>
      <c r="B756" s="37"/>
      <c r="C756" s="37"/>
      <c r="D756" s="37"/>
      <c r="E756" s="37"/>
      <c r="F756" s="36"/>
      <c r="G756" s="37"/>
      <c r="H756" s="37"/>
      <c r="I756" s="37"/>
      <c r="J756" s="37"/>
      <c r="K756" s="36"/>
      <c r="L756" s="77"/>
      <c r="O756" s="36"/>
      <c r="P756" s="38"/>
      <c r="Q756" s="77"/>
    </row>
    <row r="757" ht="13.5" customHeight="1">
      <c r="A757" s="37"/>
      <c r="B757" s="37"/>
      <c r="C757" s="37"/>
      <c r="D757" s="37"/>
      <c r="E757" s="37"/>
      <c r="F757" s="36"/>
      <c r="G757" s="37"/>
      <c r="H757" s="37"/>
      <c r="I757" s="37"/>
      <c r="J757" s="37"/>
      <c r="K757" s="36"/>
      <c r="L757" s="77"/>
      <c r="O757" s="36"/>
      <c r="P757" s="38"/>
      <c r="Q757" s="77"/>
    </row>
    <row r="758" ht="13.5" customHeight="1">
      <c r="A758" s="37"/>
      <c r="B758" s="37"/>
      <c r="C758" s="37"/>
      <c r="D758" s="37"/>
      <c r="E758" s="37"/>
      <c r="F758" s="36"/>
      <c r="G758" s="37"/>
      <c r="H758" s="37"/>
      <c r="I758" s="37"/>
      <c r="J758" s="37"/>
      <c r="K758" s="36"/>
      <c r="L758" s="77"/>
      <c r="O758" s="36"/>
      <c r="P758" s="38"/>
      <c r="Q758" s="77"/>
    </row>
    <row r="759" ht="13.5" customHeight="1">
      <c r="A759" s="37"/>
      <c r="B759" s="37"/>
      <c r="C759" s="37"/>
      <c r="D759" s="37"/>
      <c r="E759" s="37"/>
      <c r="F759" s="36"/>
      <c r="G759" s="37"/>
      <c r="H759" s="37"/>
      <c r="I759" s="37"/>
      <c r="J759" s="37"/>
      <c r="K759" s="36"/>
      <c r="L759" s="77"/>
      <c r="O759" s="36"/>
      <c r="P759" s="38"/>
      <c r="Q759" s="77"/>
    </row>
    <row r="760" ht="13.5" customHeight="1">
      <c r="A760" s="37"/>
      <c r="B760" s="37"/>
      <c r="C760" s="37"/>
      <c r="D760" s="37"/>
      <c r="E760" s="37"/>
      <c r="F760" s="36"/>
      <c r="G760" s="37"/>
      <c r="H760" s="37"/>
      <c r="I760" s="37"/>
      <c r="J760" s="37"/>
      <c r="K760" s="36"/>
      <c r="L760" s="77"/>
      <c r="O760" s="36"/>
      <c r="P760" s="38"/>
      <c r="Q760" s="77"/>
    </row>
    <row r="761" ht="13.5" customHeight="1">
      <c r="A761" s="37"/>
      <c r="B761" s="37"/>
      <c r="C761" s="37"/>
      <c r="D761" s="37"/>
      <c r="E761" s="37"/>
      <c r="F761" s="36"/>
      <c r="G761" s="37"/>
      <c r="H761" s="37"/>
      <c r="I761" s="37"/>
      <c r="J761" s="37"/>
      <c r="K761" s="36"/>
      <c r="L761" s="77"/>
      <c r="O761" s="36"/>
      <c r="P761" s="38"/>
      <c r="Q761" s="77"/>
    </row>
    <row r="762" ht="13.5" customHeight="1">
      <c r="A762" s="37"/>
      <c r="B762" s="37"/>
      <c r="C762" s="37"/>
      <c r="D762" s="37"/>
      <c r="E762" s="37"/>
      <c r="F762" s="36"/>
      <c r="G762" s="37"/>
      <c r="H762" s="37"/>
      <c r="I762" s="37"/>
      <c r="J762" s="37"/>
      <c r="K762" s="36"/>
      <c r="L762" s="77"/>
      <c r="O762" s="36"/>
      <c r="P762" s="38"/>
      <c r="Q762" s="77"/>
    </row>
    <row r="763" ht="13.5" customHeight="1">
      <c r="A763" s="37"/>
      <c r="B763" s="37"/>
      <c r="C763" s="37"/>
      <c r="D763" s="37"/>
      <c r="E763" s="37"/>
      <c r="F763" s="36"/>
      <c r="G763" s="37"/>
      <c r="H763" s="37"/>
      <c r="I763" s="37"/>
      <c r="J763" s="37"/>
      <c r="K763" s="36"/>
      <c r="L763" s="77"/>
      <c r="O763" s="36"/>
      <c r="P763" s="38"/>
      <c r="Q763" s="77"/>
    </row>
    <row r="764" ht="13.5" customHeight="1">
      <c r="A764" s="37"/>
      <c r="B764" s="37"/>
      <c r="C764" s="37"/>
      <c r="D764" s="37"/>
      <c r="E764" s="37"/>
      <c r="F764" s="36"/>
      <c r="G764" s="37"/>
      <c r="H764" s="37"/>
      <c r="I764" s="37"/>
      <c r="J764" s="37"/>
      <c r="K764" s="36"/>
      <c r="L764" s="77"/>
      <c r="O764" s="36"/>
      <c r="P764" s="38"/>
      <c r="Q764" s="77"/>
    </row>
    <row r="765" ht="13.5" customHeight="1">
      <c r="A765" s="37"/>
      <c r="B765" s="37"/>
      <c r="C765" s="37"/>
      <c r="D765" s="37"/>
      <c r="E765" s="37"/>
      <c r="F765" s="36"/>
      <c r="G765" s="37"/>
      <c r="H765" s="37"/>
      <c r="I765" s="37"/>
      <c r="J765" s="37"/>
      <c r="K765" s="36"/>
      <c r="L765" s="77"/>
      <c r="O765" s="36"/>
      <c r="P765" s="38"/>
      <c r="Q765" s="77"/>
    </row>
    <row r="766" ht="13.5" customHeight="1">
      <c r="A766" s="37"/>
      <c r="B766" s="37"/>
      <c r="C766" s="37"/>
      <c r="D766" s="37"/>
      <c r="E766" s="37"/>
      <c r="F766" s="36"/>
      <c r="G766" s="37"/>
      <c r="H766" s="37"/>
      <c r="I766" s="37"/>
      <c r="J766" s="37"/>
      <c r="K766" s="36"/>
      <c r="L766" s="77"/>
      <c r="O766" s="36"/>
      <c r="P766" s="38"/>
      <c r="Q766" s="77"/>
    </row>
    <row r="767" ht="13.5" customHeight="1">
      <c r="A767" s="37"/>
      <c r="B767" s="37"/>
      <c r="C767" s="37"/>
      <c r="D767" s="37"/>
      <c r="E767" s="37"/>
      <c r="F767" s="36"/>
      <c r="G767" s="37"/>
      <c r="H767" s="37"/>
      <c r="I767" s="37"/>
      <c r="J767" s="37"/>
      <c r="K767" s="36"/>
      <c r="L767" s="77"/>
      <c r="O767" s="36"/>
      <c r="P767" s="38"/>
      <c r="Q767" s="77"/>
    </row>
    <row r="768" ht="13.5" customHeight="1">
      <c r="A768" s="37"/>
      <c r="B768" s="37"/>
      <c r="C768" s="37"/>
      <c r="D768" s="37"/>
      <c r="E768" s="37"/>
      <c r="F768" s="36"/>
      <c r="G768" s="37"/>
      <c r="H768" s="37"/>
      <c r="I768" s="37"/>
      <c r="J768" s="37"/>
      <c r="K768" s="36"/>
      <c r="L768" s="77"/>
      <c r="O768" s="36"/>
      <c r="P768" s="38"/>
      <c r="Q768" s="77"/>
    </row>
    <row r="769" ht="13.5" customHeight="1">
      <c r="A769" s="37"/>
      <c r="B769" s="37"/>
      <c r="C769" s="37"/>
      <c r="D769" s="37"/>
      <c r="E769" s="37"/>
      <c r="F769" s="36"/>
      <c r="G769" s="37"/>
      <c r="H769" s="37"/>
      <c r="I769" s="37"/>
      <c r="J769" s="37"/>
      <c r="K769" s="36"/>
      <c r="L769" s="77"/>
      <c r="O769" s="36"/>
      <c r="P769" s="38"/>
      <c r="Q769" s="77"/>
    </row>
    <row r="770" ht="13.5" customHeight="1">
      <c r="A770" s="37"/>
      <c r="B770" s="37"/>
      <c r="C770" s="37"/>
      <c r="D770" s="37"/>
      <c r="E770" s="37"/>
      <c r="F770" s="36"/>
      <c r="G770" s="37"/>
      <c r="H770" s="37"/>
      <c r="I770" s="37"/>
      <c r="J770" s="37"/>
      <c r="K770" s="36"/>
      <c r="L770" s="77"/>
      <c r="O770" s="36"/>
      <c r="P770" s="38"/>
      <c r="Q770" s="77"/>
    </row>
    <row r="771" ht="13.5" customHeight="1">
      <c r="A771" s="37"/>
      <c r="B771" s="37"/>
      <c r="C771" s="37"/>
      <c r="D771" s="37"/>
      <c r="E771" s="37"/>
      <c r="F771" s="36"/>
      <c r="G771" s="37"/>
      <c r="H771" s="37"/>
      <c r="I771" s="37"/>
      <c r="J771" s="37"/>
      <c r="K771" s="36"/>
      <c r="L771" s="77"/>
      <c r="O771" s="36"/>
      <c r="P771" s="38"/>
      <c r="Q771" s="77"/>
    </row>
    <row r="772" ht="13.5" customHeight="1">
      <c r="A772" s="37"/>
      <c r="B772" s="37"/>
      <c r="C772" s="37"/>
      <c r="D772" s="37"/>
      <c r="E772" s="37"/>
      <c r="F772" s="36"/>
      <c r="G772" s="37"/>
      <c r="H772" s="37"/>
      <c r="I772" s="37"/>
      <c r="J772" s="37"/>
      <c r="K772" s="36"/>
      <c r="L772" s="77"/>
      <c r="O772" s="36"/>
      <c r="P772" s="38"/>
      <c r="Q772" s="77"/>
    </row>
    <row r="773" ht="13.5" customHeight="1">
      <c r="A773" s="37"/>
      <c r="B773" s="37"/>
      <c r="C773" s="37"/>
      <c r="D773" s="37"/>
      <c r="E773" s="37"/>
      <c r="F773" s="36"/>
      <c r="G773" s="37"/>
      <c r="H773" s="37"/>
      <c r="I773" s="37"/>
      <c r="J773" s="37"/>
      <c r="K773" s="36"/>
      <c r="L773" s="77"/>
      <c r="O773" s="36"/>
      <c r="P773" s="38"/>
      <c r="Q773" s="77"/>
    </row>
    <row r="774" ht="13.5" customHeight="1">
      <c r="A774" s="37"/>
      <c r="B774" s="37"/>
      <c r="C774" s="37"/>
      <c r="D774" s="37"/>
      <c r="E774" s="37"/>
      <c r="F774" s="36"/>
      <c r="G774" s="37"/>
      <c r="H774" s="37"/>
      <c r="I774" s="37"/>
      <c r="J774" s="37"/>
      <c r="K774" s="36"/>
      <c r="L774" s="77"/>
      <c r="O774" s="36"/>
      <c r="P774" s="38"/>
      <c r="Q774" s="77"/>
    </row>
    <row r="775" ht="13.5" customHeight="1">
      <c r="A775" s="37"/>
      <c r="B775" s="37"/>
      <c r="C775" s="37"/>
      <c r="D775" s="37"/>
      <c r="E775" s="37"/>
      <c r="F775" s="36"/>
      <c r="G775" s="37"/>
      <c r="H775" s="37"/>
      <c r="I775" s="37"/>
      <c r="J775" s="37"/>
      <c r="K775" s="36"/>
      <c r="L775" s="77"/>
      <c r="O775" s="36"/>
      <c r="P775" s="38"/>
      <c r="Q775" s="77"/>
    </row>
    <row r="776" ht="13.5" customHeight="1">
      <c r="A776" s="37"/>
      <c r="B776" s="37"/>
      <c r="C776" s="37"/>
      <c r="D776" s="37"/>
      <c r="E776" s="37"/>
      <c r="F776" s="36"/>
      <c r="G776" s="37"/>
      <c r="H776" s="37"/>
      <c r="I776" s="37"/>
      <c r="J776" s="37"/>
      <c r="K776" s="36"/>
      <c r="L776" s="77"/>
      <c r="O776" s="36"/>
      <c r="P776" s="38"/>
      <c r="Q776" s="77"/>
    </row>
    <row r="777" ht="13.5" customHeight="1">
      <c r="A777" s="37"/>
      <c r="B777" s="37"/>
      <c r="C777" s="37"/>
      <c r="D777" s="37"/>
      <c r="E777" s="37"/>
      <c r="F777" s="36"/>
      <c r="G777" s="37"/>
      <c r="H777" s="37"/>
      <c r="I777" s="37"/>
      <c r="J777" s="37"/>
      <c r="K777" s="36"/>
      <c r="L777" s="77"/>
      <c r="O777" s="36"/>
      <c r="P777" s="38"/>
      <c r="Q777" s="77"/>
    </row>
    <row r="778" ht="13.5" customHeight="1">
      <c r="A778" s="37"/>
      <c r="B778" s="37"/>
      <c r="C778" s="37"/>
      <c r="D778" s="37"/>
      <c r="E778" s="37"/>
      <c r="F778" s="36"/>
      <c r="G778" s="37"/>
      <c r="H778" s="37"/>
      <c r="I778" s="37"/>
      <c r="J778" s="37"/>
      <c r="K778" s="36"/>
      <c r="L778" s="77"/>
      <c r="O778" s="36"/>
      <c r="P778" s="38"/>
      <c r="Q778" s="77"/>
    </row>
    <row r="779" ht="13.5" customHeight="1">
      <c r="A779" s="37"/>
      <c r="B779" s="37"/>
      <c r="C779" s="37"/>
      <c r="D779" s="37"/>
      <c r="E779" s="37"/>
      <c r="F779" s="36"/>
      <c r="G779" s="37"/>
      <c r="H779" s="37"/>
      <c r="I779" s="37"/>
      <c r="J779" s="37"/>
      <c r="K779" s="36"/>
      <c r="L779" s="77"/>
      <c r="O779" s="36"/>
      <c r="P779" s="38"/>
      <c r="Q779" s="77"/>
    </row>
    <row r="780" ht="13.5" customHeight="1">
      <c r="A780" s="37"/>
      <c r="B780" s="37"/>
      <c r="C780" s="37"/>
      <c r="D780" s="37"/>
      <c r="E780" s="37"/>
      <c r="F780" s="36"/>
      <c r="G780" s="37"/>
      <c r="H780" s="37"/>
      <c r="I780" s="37"/>
      <c r="J780" s="37"/>
      <c r="K780" s="36"/>
      <c r="L780" s="77"/>
      <c r="O780" s="36"/>
      <c r="P780" s="38"/>
      <c r="Q780" s="77"/>
    </row>
    <row r="781" ht="13.5" customHeight="1">
      <c r="A781" s="37"/>
      <c r="B781" s="37"/>
      <c r="C781" s="37"/>
      <c r="D781" s="37"/>
      <c r="E781" s="37"/>
      <c r="F781" s="36"/>
      <c r="G781" s="37"/>
      <c r="H781" s="37"/>
      <c r="I781" s="37"/>
      <c r="J781" s="37"/>
      <c r="K781" s="36"/>
      <c r="L781" s="77"/>
      <c r="O781" s="36"/>
      <c r="P781" s="38"/>
      <c r="Q781" s="77"/>
    </row>
    <row r="782" ht="13.5" customHeight="1">
      <c r="A782" s="37"/>
      <c r="B782" s="37"/>
      <c r="C782" s="37"/>
      <c r="D782" s="37"/>
      <c r="E782" s="37"/>
      <c r="F782" s="36"/>
      <c r="G782" s="37"/>
      <c r="H782" s="37"/>
      <c r="I782" s="37"/>
      <c r="J782" s="37"/>
      <c r="K782" s="36"/>
      <c r="L782" s="77"/>
      <c r="O782" s="36"/>
      <c r="P782" s="38"/>
      <c r="Q782" s="77"/>
    </row>
    <row r="783" ht="13.5" customHeight="1">
      <c r="A783" s="37"/>
      <c r="B783" s="37"/>
      <c r="C783" s="37"/>
      <c r="D783" s="37"/>
      <c r="E783" s="37"/>
      <c r="F783" s="36"/>
      <c r="G783" s="37"/>
      <c r="H783" s="37"/>
      <c r="I783" s="37"/>
      <c r="J783" s="37"/>
      <c r="K783" s="36"/>
      <c r="L783" s="77"/>
      <c r="O783" s="36"/>
      <c r="P783" s="38"/>
      <c r="Q783" s="77"/>
    </row>
    <row r="784" ht="13.5" customHeight="1">
      <c r="A784" s="37"/>
      <c r="B784" s="37"/>
      <c r="C784" s="37"/>
      <c r="D784" s="37"/>
      <c r="E784" s="37"/>
      <c r="F784" s="36"/>
      <c r="G784" s="37"/>
      <c r="H784" s="37"/>
      <c r="I784" s="37"/>
      <c r="J784" s="37"/>
      <c r="K784" s="36"/>
      <c r="L784" s="77"/>
      <c r="O784" s="36"/>
      <c r="P784" s="38"/>
      <c r="Q784" s="77"/>
    </row>
    <row r="785" ht="13.5" customHeight="1">
      <c r="A785" s="37"/>
      <c r="B785" s="37"/>
      <c r="C785" s="37"/>
      <c r="D785" s="37"/>
      <c r="E785" s="37"/>
      <c r="F785" s="36"/>
      <c r="G785" s="37"/>
      <c r="H785" s="37"/>
      <c r="I785" s="37"/>
      <c r="J785" s="37"/>
      <c r="K785" s="36"/>
      <c r="L785" s="77"/>
      <c r="O785" s="36"/>
      <c r="P785" s="38"/>
      <c r="Q785" s="77"/>
    </row>
    <row r="786" ht="13.5" customHeight="1">
      <c r="A786" s="37"/>
      <c r="B786" s="37"/>
      <c r="C786" s="37"/>
      <c r="D786" s="37"/>
      <c r="E786" s="37"/>
      <c r="F786" s="36"/>
      <c r="G786" s="37"/>
      <c r="H786" s="37"/>
      <c r="I786" s="37"/>
      <c r="J786" s="37"/>
      <c r="K786" s="36"/>
      <c r="L786" s="77"/>
      <c r="O786" s="36"/>
      <c r="P786" s="38"/>
      <c r="Q786" s="77"/>
    </row>
    <row r="787" ht="13.5" customHeight="1">
      <c r="A787" s="37"/>
      <c r="B787" s="37"/>
      <c r="C787" s="37"/>
      <c r="D787" s="37"/>
      <c r="E787" s="37"/>
      <c r="F787" s="36"/>
      <c r="G787" s="37"/>
      <c r="H787" s="37"/>
      <c r="I787" s="37"/>
      <c r="J787" s="37"/>
      <c r="K787" s="36"/>
      <c r="L787" s="77"/>
      <c r="O787" s="36"/>
      <c r="P787" s="38"/>
      <c r="Q787" s="77"/>
    </row>
    <row r="788" ht="13.5" customHeight="1">
      <c r="A788" s="37"/>
      <c r="B788" s="37"/>
      <c r="C788" s="37"/>
      <c r="D788" s="37"/>
      <c r="E788" s="37"/>
      <c r="F788" s="36"/>
      <c r="G788" s="37"/>
      <c r="H788" s="37"/>
      <c r="I788" s="37"/>
      <c r="J788" s="37"/>
      <c r="K788" s="36"/>
      <c r="L788" s="77"/>
      <c r="O788" s="36"/>
      <c r="P788" s="38"/>
      <c r="Q788" s="77"/>
    </row>
    <row r="789" ht="13.5" customHeight="1">
      <c r="A789" s="37"/>
      <c r="B789" s="37"/>
      <c r="C789" s="37"/>
      <c r="D789" s="37"/>
      <c r="E789" s="37"/>
      <c r="F789" s="36"/>
      <c r="G789" s="37"/>
      <c r="H789" s="37"/>
      <c r="I789" s="37"/>
      <c r="J789" s="37"/>
      <c r="K789" s="36"/>
      <c r="L789" s="77"/>
      <c r="O789" s="36"/>
      <c r="P789" s="38"/>
      <c r="Q789" s="77"/>
    </row>
    <row r="790" ht="13.5" customHeight="1">
      <c r="A790" s="37"/>
      <c r="B790" s="37"/>
      <c r="C790" s="37"/>
      <c r="D790" s="37"/>
      <c r="E790" s="37"/>
      <c r="F790" s="36"/>
      <c r="G790" s="37"/>
      <c r="H790" s="37"/>
      <c r="I790" s="37"/>
      <c r="J790" s="37"/>
      <c r="K790" s="36"/>
      <c r="L790" s="77"/>
      <c r="O790" s="36"/>
      <c r="P790" s="38"/>
      <c r="Q790" s="77"/>
    </row>
    <row r="791" ht="13.5" customHeight="1">
      <c r="A791" s="37"/>
      <c r="B791" s="37"/>
      <c r="C791" s="37"/>
      <c r="D791" s="37"/>
      <c r="E791" s="37"/>
      <c r="F791" s="36"/>
      <c r="G791" s="37"/>
      <c r="H791" s="37"/>
      <c r="I791" s="37"/>
      <c r="J791" s="37"/>
      <c r="K791" s="36"/>
      <c r="L791" s="77"/>
      <c r="O791" s="36"/>
      <c r="P791" s="38"/>
      <c r="Q791" s="77"/>
    </row>
    <row r="792" ht="13.5" customHeight="1">
      <c r="A792" s="37"/>
      <c r="B792" s="37"/>
      <c r="C792" s="37"/>
      <c r="D792" s="37"/>
      <c r="E792" s="37"/>
      <c r="F792" s="36"/>
      <c r="G792" s="37"/>
      <c r="H792" s="37"/>
      <c r="I792" s="37"/>
      <c r="J792" s="37"/>
      <c r="K792" s="36"/>
      <c r="L792" s="77"/>
      <c r="O792" s="36"/>
      <c r="P792" s="38"/>
      <c r="Q792" s="77"/>
    </row>
    <row r="793" ht="13.5" customHeight="1">
      <c r="A793" s="37"/>
      <c r="B793" s="37"/>
      <c r="C793" s="37"/>
      <c r="D793" s="37"/>
      <c r="E793" s="37"/>
      <c r="F793" s="36"/>
      <c r="G793" s="37"/>
      <c r="H793" s="37"/>
      <c r="I793" s="37"/>
      <c r="J793" s="37"/>
      <c r="K793" s="36"/>
      <c r="L793" s="77"/>
      <c r="O793" s="36"/>
      <c r="P793" s="38"/>
      <c r="Q793" s="77"/>
    </row>
    <row r="794" ht="13.5" customHeight="1">
      <c r="A794" s="37"/>
      <c r="B794" s="37"/>
      <c r="C794" s="37"/>
      <c r="D794" s="37"/>
      <c r="E794" s="37"/>
      <c r="F794" s="36"/>
      <c r="G794" s="37"/>
      <c r="H794" s="37"/>
      <c r="I794" s="37"/>
      <c r="J794" s="37"/>
      <c r="K794" s="36"/>
      <c r="L794" s="77"/>
      <c r="O794" s="36"/>
      <c r="P794" s="38"/>
      <c r="Q794" s="77"/>
    </row>
    <row r="795" ht="13.5" customHeight="1">
      <c r="A795" s="37"/>
      <c r="B795" s="37"/>
      <c r="C795" s="37"/>
      <c r="D795" s="37"/>
      <c r="E795" s="37"/>
      <c r="F795" s="36"/>
      <c r="G795" s="37"/>
      <c r="H795" s="37"/>
      <c r="I795" s="37"/>
      <c r="J795" s="37"/>
      <c r="K795" s="36"/>
      <c r="L795" s="77"/>
      <c r="O795" s="36"/>
      <c r="P795" s="38"/>
      <c r="Q795" s="77"/>
    </row>
    <row r="796" ht="13.5" customHeight="1">
      <c r="A796" s="37"/>
      <c r="B796" s="37"/>
      <c r="C796" s="37"/>
      <c r="D796" s="37"/>
      <c r="E796" s="37"/>
      <c r="F796" s="36"/>
      <c r="G796" s="37"/>
      <c r="H796" s="37"/>
      <c r="I796" s="37"/>
      <c r="J796" s="37"/>
      <c r="K796" s="36"/>
      <c r="L796" s="77"/>
      <c r="O796" s="36"/>
      <c r="P796" s="38"/>
      <c r="Q796" s="77"/>
    </row>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R$596"/>
  <conditionalFormatting sqref="A2:R596">
    <cfRule type="expression" dxfId="3" priority="1">
      <formula>$E2="SELF-REVIEW"</formula>
    </cfRule>
  </conditionalFormatting>
  <conditionalFormatting sqref="E2:E596">
    <cfRule type="cellIs" dxfId="0" priority="2" operator="equal">
      <formula>"OK"</formula>
    </cfRule>
  </conditionalFormatting>
  <conditionalFormatting sqref="Q2:Q596">
    <cfRule type="cellIs" dxfId="0" priority="3" operator="equal">
      <formula>"Yes - story complete"</formula>
    </cfRule>
  </conditionalFormatting>
  <dataValidations>
    <dataValidation type="list" allowBlank="1" sqref="Q2:Q596">
      <formula1>Lists!$F$2:$F$4</formula1>
    </dataValidation>
    <dataValidation type="list" allowBlank="1" sqref="I2:I596">
      <formula1>Lists!$D$2:$D$9</formula1>
    </dataValidation>
    <dataValidation type="list" allowBlank="1" sqref="F2:F596">
      <formula1>Lists!$Z$2:$Z$200</formula1>
    </dataValidation>
    <dataValidation type="list" allowBlank="1" sqref="J2:J596">
      <formula1>Lists!$E$2:$E$9</formula1>
    </dataValidation>
    <dataValidation type="list" allowBlank="1" sqref="K2:K596">
      <formula1>Lists!$K$2:$K$61</formula1>
    </dataValidation>
    <dataValidation type="list" allowBlank="1" sqref="C2:D596">
      <formula1>Lists!$A$2:$A$9</formula1>
    </dataValidation>
  </dataValidations>
  <hyperlinks>
    <hyperlink r:id="rId1" ref="H2"/>
    <hyperlink r:id="rId2" ref="H3"/>
    <hyperlink r:id="rId3" ref="H4"/>
    <hyperlink r:id="rId4" ref="H5"/>
    <hyperlink r:id="rId5" ref="H6"/>
    <hyperlink r:id="rId6" ref="H7"/>
    <hyperlink r:id="rId7" ref="H8"/>
    <hyperlink r:id="rId8" ref="H9"/>
    <hyperlink r:id="rId9" ref="H10"/>
    <hyperlink r:id="rId10" ref="H11"/>
    <hyperlink r:id="rId11" ref="H12"/>
    <hyperlink r:id="rId12" ref="H13"/>
    <hyperlink r:id="rId13" ref="H14"/>
    <hyperlink r:id="rId14" ref="H15"/>
    <hyperlink r:id="rId15" ref="H16"/>
    <hyperlink r:id="rId16" ref="H17"/>
    <hyperlink r:id="rId17" ref="H18"/>
    <hyperlink r:id="rId18" ref="H19"/>
    <hyperlink r:id="rId19" ref="H20"/>
    <hyperlink r:id="rId20" ref="H21"/>
    <hyperlink r:id="rId21" ref="H22"/>
    <hyperlink r:id="rId22" ref="H23"/>
    <hyperlink r:id="rId23" ref="H24"/>
    <hyperlink r:id="rId24" ref="H25"/>
    <hyperlink r:id="rId25" ref="H26"/>
    <hyperlink r:id="rId26" ref="H27"/>
    <hyperlink r:id="rId27" ref="H28"/>
    <hyperlink r:id="rId28" ref="H29"/>
    <hyperlink r:id="rId29" ref="H30"/>
  </hyperlinks>
  <printOptions/>
  <pageMargins bottom="1.0" footer="0.0" header="0.0" left="0.75" right="0.75" top="1.0"/>
  <pageSetup orientation="landscape"/>
  <drawing r:id="rId30"/>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2" width="22.0"/>
    <col customWidth="1" min="3" max="7" width="12.0"/>
    <col customWidth="1" min="8" max="8" width="40.0"/>
    <col customWidth="1" min="9" max="9" width="10.0"/>
    <col customWidth="1" min="10" max="13" width="12.0"/>
  </cols>
  <sheetData>
    <row r="1" ht="13.5" customHeight="1"/>
    <row r="2" ht="13.5" customHeight="1">
      <c r="B2" s="1" t="s">
        <v>0</v>
      </c>
    </row>
    <row r="3" ht="13.5" customHeight="1">
      <c r="B3" s="3" t="s">
        <v>3</v>
      </c>
    </row>
    <row r="4" ht="13.5" customHeight="1"/>
    <row r="5" ht="13.5" customHeight="1">
      <c r="B5" s="8" t="s">
        <v>6</v>
      </c>
      <c r="C5" s="11"/>
      <c r="D5" s="11"/>
      <c r="E5" s="8" t="s">
        <v>42</v>
      </c>
      <c r="F5" s="11"/>
      <c r="G5" s="11"/>
      <c r="H5" s="8" t="s">
        <v>45</v>
      </c>
      <c r="I5" s="11"/>
      <c r="J5" s="11"/>
      <c r="K5" s="8" t="s">
        <v>48</v>
      </c>
      <c r="L5" s="11"/>
      <c r="M5" s="11"/>
    </row>
    <row r="6" ht="30.0" customHeight="1">
      <c r="B6" s="25">
        <f>COUNTA('Contribution Log'!$C$2:$C$596)</f>
        <v>30</v>
      </c>
      <c r="C6" s="11"/>
      <c r="D6" s="11"/>
      <c r="E6" s="25">
        <f t="array" ref="E6">SUMPRODUCT((COUNTIF('Contribution Log'!$K$2:$K$596,Lists!$K$3:$K$61)&gt;0)*1)</f>
        <v>17</v>
      </c>
      <c r="F6" s="11"/>
      <c r="G6" s="11"/>
      <c r="H6" s="25">
        <f t="array" ref="H6">SUMPRODUCT((COUNTIFS('Contribution Log'!$K$2:$K$596,Lists!$K$3:$K$61,'Contribution Log'!$Q$2:$Q$596,"Yes - story complete")&gt;0)*1)</f>
        <v>11</v>
      </c>
      <c r="I6" s="11"/>
      <c r="J6" s="11"/>
      <c r="K6" s="25">
        <f>COUNTIF('Contribution Log'!$E$2:$E$596,"SELF-REVIEW")</f>
        <v>1</v>
      </c>
      <c r="L6" s="11"/>
      <c r="M6" s="11"/>
    </row>
    <row r="7" ht="13.5" customHeight="1"/>
    <row r="8" ht="13.5" customHeight="1"/>
    <row r="9" ht="13.5" customHeight="1">
      <c r="B9" s="16" t="s">
        <v>134</v>
      </c>
    </row>
    <row r="10" ht="30.0" customHeight="1">
      <c r="B10" s="4" t="s">
        <v>11</v>
      </c>
      <c r="C10" s="4" t="s">
        <v>135</v>
      </c>
      <c r="D10" s="4" t="s">
        <v>136</v>
      </c>
      <c r="E10" s="4" t="s">
        <v>137</v>
      </c>
      <c r="F10" s="4" t="s">
        <v>138</v>
      </c>
      <c r="G10" s="4" t="s">
        <v>139</v>
      </c>
      <c r="H10" s="4" t="s">
        <v>140</v>
      </c>
      <c r="I10" s="4" t="s">
        <v>141</v>
      </c>
      <c r="J10" s="4" t="s">
        <v>142</v>
      </c>
      <c r="K10" s="4" t="s">
        <v>143</v>
      </c>
    </row>
    <row r="11" ht="13.5" customHeight="1">
      <c r="B11" s="35" t="str">
        <f>Lists!$A$2</f>
        <v>Michael Max</v>
      </c>
      <c r="C11" s="23">
        <f>COUNTIF('Contribution Log'!$C$2:$C$596,Lists!$A$2)</f>
        <v>9</v>
      </c>
      <c r="D11" s="23">
        <f>COUNTIF('Contribution Log'!$D$2:$D$596,Lists!$A$2)</f>
        <v>1</v>
      </c>
      <c r="E11" s="23">
        <f>COUNTIFS('Contribution Log'!$C$2:$C$596,Lists!$A$2,'Contribution Log'!$I$2:$I$596,"Feature")</f>
        <v>5</v>
      </c>
      <c r="F11" s="23">
        <f>COUNTIFS('Contribution Log'!$C$2:$C$596,Lists!$A$2,'Contribution Log'!$I$2:$I$596,"Defect fix")</f>
        <v>3</v>
      </c>
      <c r="G11" s="23">
        <f>COUNTIFS('Contribution Log'!$C$2:$C$596,Lists!$A$2,'Contribution Log'!$I$2:$I$596,"Tests")+COUNTIFS('Contribution Log'!$C$2:$C$596,Lists!$A$2,'Contribution Log'!$I$2:$I$596,"Documentation")</f>
        <v>1</v>
      </c>
      <c r="H11" s="23">
        <f t="array" ref="H11">SUMPRODUCT((COUNTIFS('Contribution Log'!$K$2:$K$596,Lists!$K$3:$K$61,'Contribution Log'!$C$2:$C$596,Lists!$A$2,'Contribution Log'!$Q$2:$Q$596,"Yes - story complete")&gt;0)*1)</f>
        <v>1</v>
      </c>
      <c r="I11" s="42">
        <f>IF(COUNTIF('Contribution Log'!$C$2:$C$596,Lists!$A$2)=0,"",SUMPRODUCT(MIN(('Contribution Log'!$C$2:$C$596=Lists!$A$2)*'Contribution Log'!$A$2:$A$596+('Contribution Log'!$C$2:$C$596&lt;&gt;Lists!$A$2)*300000)))</f>
        <v>46277</v>
      </c>
      <c r="J11" s="42">
        <f>IF(COUNTIF('Contribution Log'!$C$2:$C$596,Lists!$A$2)=0,"",SUMPRODUCT(MAX(('Contribution Log'!$C$2:$C$596=Lists!$A$2)*'Contribution Log'!$A$2:$A$596)))</f>
        <v>46286</v>
      </c>
      <c r="K11" s="45">
        <f>IFERROR(COUNTIF('Contribution Log'!$C$2:$C$596,Lists!$A$2)/COUNTA('Contribution Log'!$C$2:$C$596),"")</f>
        <v>0.3</v>
      </c>
    </row>
    <row r="12" ht="13.5" customHeight="1">
      <c r="B12" s="35" t="str">
        <f>Lists!$A$3</f>
        <v>Parth</v>
      </c>
      <c r="C12" s="23">
        <f>COUNTIF('Contribution Log'!$C$2:$C$596,Lists!$A$3)</f>
        <v>4</v>
      </c>
      <c r="D12" s="23">
        <f>COUNTIF('Contribution Log'!$D$2:$D$596,Lists!$A$3)</f>
        <v>1</v>
      </c>
      <c r="E12" s="23">
        <f>COUNTIFS('Contribution Log'!$C$2:$C$596,Lists!$A$3,'Contribution Log'!$I$2:$I$596,"Feature")</f>
        <v>2</v>
      </c>
      <c r="F12" s="23">
        <f>COUNTIFS('Contribution Log'!$C$2:$C$596,Lists!$A$3,'Contribution Log'!$I$2:$I$596,"Defect fix")</f>
        <v>1</v>
      </c>
      <c r="G12" s="23">
        <f>COUNTIFS('Contribution Log'!$C$2:$C$596,Lists!$A$3,'Contribution Log'!$I$2:$I$596,"Tests")+COUNTIFS('Contribution Log'!$C$2:$C$596,Lists!$A$3,'Contribution Log'!$I$2:$I$596,"Documentation")</f>
        <v>0</v>
      </c>
      <c r="H12" s="23">
        <f t="array" ref="H12">SUMPRODUCT((COUNTIFS('Contribution Log'!$K$2:$K$596,Lists!$K$3:$K$61,'Contribution Log'!$C$2:$C$596,Lists!$A$3,'Contribution Log'!$Q$2:$Q$596,"Yes - story complete")&gt;0)*1)</f>
        <v>2</v>
      </c>
      <c r="I12" s="42">
        <f>IF(COUNTIF('Contribution Log'!$C$2:$C$596,Lists!$A$3)=0,"",SUMPRODUCT(MIN(('Contribution Log'!$C$2:$C$596=Lists!$A$3)*'Contribution Log'!$A$2:$A$596+('Contribution Log'!$C$2:$C$596&lt;&gt;Lists!$A$3)*300000)))</f>
        <v>46279</v>
      </c>
      <c r="J12" s="42">
        <f>IF(COUNTIF('Contribution Log'!$C$2:$C$596,Lists!$A$3)=0,"",SUMPRODUCT(MAX(('Contribution Log'!$C$2:$C$596=Lists!$A$3)*'Contribution Log'!$A$2:$A$596)))</f>
        <v>46285</v>
      </c>
      <c r="K12" s="45">
        <f>IFERROR(COUNTIF('Contribution Log'!$C$2:$C$596,Lists!$A$3)/COUNTA('Contribution Log'!$C$2:$C$596),"")</f>
        <v>0.1333333333</v>
      </c>
    </row>
    <row r="13" ht="13.5" customHeight="1">
      <c r="B13" s="35" t="str">
        <f>Lists!$A$4</f>
        <v>Jingwei Lin</v>
      </c>
      <c r="C13" s="23">
        <f>COUNTIF('Contribution Log'!$C$2:$C$596,Lists!$A$4)</f>
        <v>4</v>
      </c>
      <c r="D13" s="23">
        <f>COUNTIF('Contribution Log'!$D$2:$D$596,Lists!$A$4)</f>
        <v>6</v>
      </c>
      <c r="E13" s="23">
        <f>COUNTIFS('Contribution Log'!$C$2:$C$596,Lists!$A$4,'Contribution Log'!$I$2:$I$596,"Feature")</f>
        <v>2</v>
      </c>
      <c r="F13" s="23">
        <f>COUNTIFS('Contribution Log'!$C$2:$C$596,Lists!$A$4,'Contribution Log'!$I$2:$I$596,"Defect fix")</f>
        <v>2</v>
      </c>
      <c r="G13" s="23">
        <f>COUNTIFS('Contribution Log'!$C$2:$C$596,Lists!$A$4,'Contribution Log'!$I$2:$I$596,"Tests")+COUNTIFS('Contribution Log'!$C$2:$C$596,Lists!$A$4,'Contribution Log'!$I$2:$I$596,"Documentation")</f>
        <v>0</v>
      </c>
      <c r="H13" s="23">
        <f t="array" ref="H13">SUMPRODUCT((COUNTIFS('Contribution Log'!$K$2:$K$596,Lists!$K$3:$K$61,'Contribution Log'!$C$2:$C$596,Lists!$A$4,'Contribution Log'!$Q$2:$Q$596,"Yes - story complete")&gt;0)*1)</f>
        <v>3</v>
      </c>
      <c r="I13" s="42">
        <f>IF(COUNTIF('Contribution Log'!$C$2:$C$596,Lists!$A$4)=0,"",SUMPRODUCT(MIN(('Contribution Log'!$C$2:$C$596=Lists!$A$4)*'Contribution Log'!$A$2:$A$596+('Contribution Log'!$C$2:$C$596&lt;&gt;Lists!$A$4)*300000)))</f>
        <v>46272</v>
      </c>
      <c r="J13" s="42">
        <f>IF(COUNTIF('Contribution Log'!$C$2:$C$596,Lists!$A$4)=0,"",SUMPRODUCT(MAX(('Contribution Log'!$C$2:$C$596=Lists!$A$4)*'Contribution Log'!$A$2:$A$596)))</f>
        <v>46285</v>
      </c>
      <c r="K13" s="45">
        <f>IFERROR(COUNTIF('Contribution Log'!$C$2:$C$596,Lists!$A$4)/COUNTA('Contribution Log'!$C$2:$C$596),"")</f>
        <v>0.1333333333</v>
      </c>
    </row>
    <row r="14" ht="13.5" customHeight="1">
      <c r="B14" s="35" t="str">
        <f>Lists!$A$5</f>
        <v>Hanchen Wang</v>
      </c>
      <c r="C14" s="23">
        <f>COUNTIF('Contribution Log'!$C$2:$C$596,Lists!$A$5)</f>
        <v>4</v>
      </c>
      <c r="D14" s="23">
        <f>COUNTIF('Contribution Log'!$D$2:$D$596,Lists!$A$5)</f>
        <v>6</v>
      </c>
      <c r="E14" s="23">
        <f>COUNTIFS('Contribution Log'!$C$2:$C$596,Lists!$A$5,'Contribution Log'!$I$2:$I$596,"Feature")</f>
        <v>0</v>
      </c>
      <c r="F14" s="23">
        <f>COUNTIFS('Contribution Log'!$C$2:$C$596,Lists!$A$5,'Contribution Log'!$I$2:$I$596,"Defect fix")</f>
        <v>3</v>
      </c>
      <c r="G14" s="23">
        <f>COUNTIFS('Contribution Log'!$C$2:$C$596,Lists!$A$5,'Contribution Log'!$I$2:$I$596,"Tests")+COUNTIFS('Contribution Log'!$C$2:$C$596,Lists!$A$5,'Contribution Log'!$I$2:$I$596,"Documentation")</f>
        <v>0</v>
      </c>
      <c r="H14" s="23">
        <f t="array" ref="H14">SUMPRODUCT((COUNTIFS('Contribution Log'!$K$2:$K$596,Lists!$K$3:$K$61,'Contribution Log'!$C$2:$C$596,Lists!$A$5,'Contribution Log'!$Q$2:$Q$596,"Yes - story complete")&gt;0)*1)</f>
        <v>2</v>
      </c>
      <c r="I14" s="42">
        <f>IF(COUNTIF('Contribution Log'!$C$2:$C$596,Lists!$A$5)=0,"",SUMPRODUCT(MIN(('Contribution Log'!$C$2:$C$596=Lists!$A$5)*'Contribution Log'!$A$2:$A$596+('Contribution Log'!$C$2:$C$596&lt;&gt;Lists!$A$5)*300000)))</f>
        <v>46272</v>
      </c>
      <c r="J14" s="42">
        <f>IF(COUNTIF('Contribution Log'!$C$2:$C$596,Lists!$A$5)=0,"",SUMPRODUCT(MAX(('Contribution Log'!$C$2:$C$596=Lists!$A$5)*'Contribution Log'!$A$2:$A$596)))</f>
        <v>46284</v>
      </c>
      <c r="K14" s="45">
        <f>IFERROR(COUNTIF('Contribution Log'!$C$2:$C$596,Lists!$A$5)/COUNTA('Contribution Log'!$C$2:$C$596),"")</f>
        <v>0.1333333333</v>
      </c>
    </row>
    <row r="15" ht="13.5" customHeight="1">
      <c r="B15" s="35" t="str">
        <f>Lists!$A$6</f>
        <v>Yi Geng</v>
      </c>
      <c r="C15" s="23">
        <f>COUNTIF('Contribution Log'!$C$2:$C$596,Lists!$A$6)</f>
        <v>3</v>
      </c>
      <c r="D15" s="23">
        <f>COUNTIF('Contribution Log'!$D$2:$D$596,Lists!$A$6)</f>
        <v>6</v>
      </c>
      <c r="E15" s="23">
        <f>COUNTIFS('Contribution Log'!$C$2:$C$596,Lists!$A$6,'Contribution Log'!$I$2:$I$596,"Feature")</f>
        <v>1</v>
      </c>
      <c r="F15" s="23">
        <f>COUNTIFS('Contribution Log'!$C$2:$C$596,Lists!$A$6,'Contribution Log'!$I$2:$I$596,"Defect fix")</f>
        <v>0</v>
      </c>
      <c r="G15" s="23">
        <f>COUNTIFS('Contribution Log'!$C$2:$C$596,Lists!$A$6,'Contribution Log'!$I$2:$I$596,"Tests")+COUNTIFS('Contribution Log'!$C$2:$C$596,Lists!$A$6,'Contribution Log'!$I$2:$I$596,"Documentation")</f>
        <v>0</v>
      </c>
      <c r="H15" s="23">
        <f t="array" ref="H15">SUMPRODUCT((COUNTIFS('Contribution Log'!$K$2:$K$596,Lists!$K$3:$K$61,'Contribution Log'!$C$2:$C$596,Lists!$A$6,'Contribution Log'!$Q$2:$Q$596,"Yes - story complete")&gt;0)*1)</f>
        <v>0</v>
      </c>
      <c r="I15" s="42">
        <f>IF(COUNTIF('Contribution Log'!$C$2:$C$596,Lists!$A$6)=0,"",SUMPRODUCT(MIN(('Contribution Log'!$C$2:$C$596=Lists!$A$6)*'Contribution Log'!$A$2:$A$596+('Contribution Log'!$C$2:$C$596&lt;&gt;Lists!$A$6)*300000)))</f>
        <v>46262</v>
      </c>
      <c r="J15" s="42">
        <f>IF(COUNTIF('Contribution Log'!$C$2:$C$596,Lists!$A$6)=0,"",SUMPRODUCT(MAX(('Contribution Log'!$C$2:$C$596=Lists!$A$6)*'Contribution Log'!$A$2:$A$596)))</f>
        <v>46286</v>
      </c>
      <c r="K15" s="45">
        <f>IFERROR(COUNTIF('Contribution Log'!$C$2:$C$596,Lists!$A$6)/COUNTA('Contribution Log'!$C$2:$C$596),"")</f>
        <v>0.1</v>
      </c>
    </row>
    <row r="16" ht="13.5" customHeight="1">
      <c r="B16" s="35" t="str">
        <f>Lists!$A$7</f>
        <v>Dishank Aswal</v>
      </c>
      <c r="C16" s="23">
        <f>COUNTIF('Contribution Log'!$C$2:$C$596,Lists!$A$7)</f>
        <v>3</v>
      </c>
      <c r="D16" s="23">
        <f>COUNTIF('Contribution Log'!$D$2:$D$596,Lists!$A$7)</f>
        <v>4</v>
      </c>
      <c r="E16" s="23">
        <f>COUNTIFS('Contribution Log'!$C$2:$C$596,Lists!$A$7,'Contribution Log'!$I$2:$I$596,"Feature")</f>
        <v>0</v>
      </c>
      <c r="F16" s="23">
        <f>COUNTIFS('Contribution Log'!$C$2:$C$596,Lists!$A$7,'Contribution Log'!$I$2:$I$596,"Defect fix")</f>
        <v>2</v>
      </c>
      <c r="G16" s="23">
        <f>COUNTIFS('Contribution Log'!$C$2:$C$596,Lists!$A$7,'Contribution Log'!$I$2:$I$596,"Tests")+COUNTIFS('Contribution Log'!$C$2:$C$596,Lists!$A$7,'Contribution Log'!$I$2:$I$596,"Documentation")</f>
        <v>0</v>
      </c>
      <c r="H16" s="23">
        <f t="array" ref="H16">SUMPRODUCT((COUNTIFS('Contribution Log'!$K$2:$K$596,Lists!$K$3:$K$61,'Contribution Log'!$C$2:$C$596,Lists!$A$7,'Contribution Log'!$Q$2:$Q$596,"Yes - story complete")&gt;0)*1)</f>
        <v>3</v>
      </c>
      <c r="I16" s="42">
        <f>IF(COUNTIF('Contribution Log'!$C$2:$C$596,Lists!$A$7)=0,"",SUMPRODUCT(MIN(('Contribution Log'!$C$2:$C$596=Lists!$A$7)*'Contribution Log'!$A$2:$A$596+('Contribution Log'!$C$2:$C$596&lt;&gt;Lists!$A$7)*300000)))</f>
        <v>46277</v>
      </c>
      <c r="J16" s="42">
        <f>IF(COUNTIF('Contribution Log'!$C$2:$C$596,Lists!$A$7)=0,"",SUMPRODUCT(MAX(('Contribution Log'!$C$2:$C$596=Lists!$A$7)*'Contribution Log'!$A$2:$A$596)))</f>
        <v>46285</v>
      </c>
      <c r="K16" s="45">
        <f>IFERROR(COUNTIF('Contribution Log'!$C$2:$C$596,Lists!$A$7)/COUNTA('Contribution Log'!$C$2:$C$596),"")</f>
        <v>0.1</v>
      </c>
    </row>
    <row r="17" ht="13.5" customHeight="1">
      <c r="B17" s="35" t="str">
        <f>Lists!$A$8</f>
        <v>Kanishka Kathait</v>
      </c>
      <c r="C17" s="23">
        <f>COUNTIF('Contribution Log'!$C$2:$C$596,Lists!$A$8)</f>
        <v>1</v>
      </c>
      <c r="D17" s="23">
        <f>COUNTIF('Contribution Log'!$D$2:$D$596,Lists!$A$8)</f>
        <v>2</v>
      </c>
      <c r="E17" s="23">
        <f>COUNTIFS('Contribution Log'!$C$2:$C$596,Lists!$A$8,'Contribution Log'!$I$2:$I$596,"Feature")</f>
        <v>0</v>
      </c>
      <c r="F17" s="23">
        <f>COUNTIFS('Contribution Log'!$C$2:$C$596,Lists!$A$8,'Contribution Log'!$I$2:$I$596,"Defect fix")</f>
        <v>1</v>
      </c>
      <c r="G17" s="23">
        <f>COUNTIFS('Contribution Log'!$C$2:$C$596,Lists!$A$8,'Contribution Log'!$I$2:$I$596,"Tests")+COUNTIFS('Contribution Log'!$C$2:$C$596,Lists!$A$8,'Contribution Log'!$I$2:$I$596,"Documentation")</f>
        <v>0</v>
      </c>
      <c r="H17" s="23">
        <f t="array" ref="H17">SUMPRODUCT((COUNTIFS('Contribution Log'!$K$2:$K$596,Lists!$K$3:$K$61,'Contribution Log'!$C$2:$C$596,Lists!$A$8,'Contribution Log'!$Q$2:$Q$596,"Yes - story complete")&gt;0)*1)</f>
        <v>0</v>
      </c>
      <c r="I17" s="42">
        <f>IF(COUNTIF('Contribution Log'!$C$2:$C$596,Lists!$A$8)=0,"",SUMPRODUCT(MIN(('Contribution Log'!$C$2:$C$596=Lists!$A$8)*'Contribution Log'!$A$2:$A$596+('Contribution Log'!$C$2:$C$596&lt;&gt;Lists!$A$8)*300000)))</f>
        <v>46277</v>
      </c>
      <c r="J17" s="42">
        <f>IF(COUNTIF('Contribution Log'!$C$2:$C$596,Lists!$A$8)=0,"",SUMPRODUCT(MAX(('Contribution Log'!$C$2:$C$596=Lists!$A$8)*'Contribution Log'!$A$2:$A$596)))</f>
        <v>46277</v>
      </c>
      <c r="K17" s="45">
        <f>IFERROR(COUNTIF('Contribution Log'!$C$2:$C$596,Lists!$A$8)/COUNTA('Contribution Log'!$C$2:$C$596),"")</f>
        <v>0.03333333333</v>
      </c>
    </row>
    <row r="18" ht="13.5" customHeight="1">
      <c r="B18" s="35" t="str">
        <f>Lists!$A$9</f>
        <v>Tim Chung</v>
      </c>
      <c r="C18" s="23">
        <f>COUNTIF('Contribution Log'!$C$2:$C$596,Lists!$A$9)</f>
        <v>2</v>
      </c>
      <c r="D18" s="23">
        <f>COUNTIF('Contribution Log'!$D$2:$D$596,Lists!$A$9)</f>
        <v>0</v>
      </c>
      <c r="E18" s="23">
        <f>COUNTIFS('Contribution Log'!$C$2:$C$596,Lists!$A$9,'Contribution Log'!$I$2:$I$596,"Feature")</f>
        <v>1</v>
      </c>
      <c r="F18" s="23">
        <f>COUNTIFS('Contribution Log'!$C$2:$C$596,Lists!$A$9,'Contribution Log'!$I$2:$I$596,"Defect fix")</f>
        <v>0</v>
      </c>
      <c r="G18" s="23">
        <f>COUNTIFS('Contribution Log'!$C$2:$C$596,Lists!$A$9,'Contribution Log'!$I$2:$I$596,"Tests")+COUNTIFS('Contribution Log'!$C$2:$C$596,Lists!$A$9,'Contribution Log'!$I$2:$I$596,"Documentation")</f>
        <v>0</v>
      </c>
      <c r="H18" s="23">
        <f t="array" ref="H18">SUMPRODUCT((COUNTIFS('Contribution Log'!$K$2:$K$596,Lists!$K$3:$K$61,'Contribution Log'!$C$2:$C$596,Lists!$A$9,'Contribution Log'!$Q$2:$Q$596,"Yes - story complete")&gt;0)*1)</f>
        <v>0</v>
      </c>
      <c r="I18" s="42">
        <f>IF(COUNTIF('Contribution Log'!$C$2:$C$596,Lists!$A$9)=0,"",SUMPRODUCT(MIN(('Contribution Log'!$C$2:$C$596=Lists!$A$9)*'Contribution Log'!$A$2:$A$596+('Contribution Log'!$C$2:$C$596&lt;&gt;Lists!$A$9)*300000)))</f>
        <v>46279</v>
      </c>
      <c r="J18" s="42">
        <f>IF(COUNTIF('Contribution Log'!$C$2:$C$596,Lists!$A$9)=0,"",SUMPRODUCT(MAX(('Contribution Log'!$C$2:$C$596=Lists!$A$9)*'Contribution Log'!$A$2:$A$596)))</f>
        <v>46286</v>
      </c>
      <c r="K18" s="45">
        <f>IFERROR(COUNTIF('Contribution Log'!$C$2:$C$596,Lists!$A$9)/COUNTA('Contribution Log'!$C$2:$C$596),"")</f>
        <v>0.06666666667</v>
      </c>
    </row>
    <row r="19" ht="13.5" customHeight="1">
      <c r="B19" s="39" t="s">
        <v>290</v>
      </c>
      <c r="C19" s="22">
        <f t="shared" ref="C19:G19" si="1">SUM(C11:C18)</f>
        <v>30</v>
      </c>
      <c r="D19" s="22">
        <f t="shared" si="1"/>
        <v>26</v>
      </c>
      <c r="E19" s="22">
        <f t="shared" si="1"/>
        <v>11</v>
      </c>
      <c r="F19" s="22">
        <f t="shared" si="1"/>
        <v>12</v>
      </c>
      <c r="G19" s="22">
        <f t="shared" si="1"/>
        <v>1</v>
      </c>
      <c r="H19" s="63">
        <f t="array" ref="H19">SUMPRODUCT((COUNTIFS('Contribution Log'!$K$2:$K$596,Lists!$K$3:$K$61,'Contribution Log'!$Q$2:$Q$596,"Yes - story complete")&gt;0)*1)</f>
        <v>11</v>
      </c>
      <c r="I19" s="39"/>
      <c r="J19" s="39"/>
      <c r="K19" s="39"/>
    </row>
    <row r="20" ht="13.5" customHeight="1">
      <c r="B20" s="17" t="s">
        <v>305</v>
      </c>
    </row>
    <row r="21" ht="13.5" customHeight="1"/>
    <row r="22" ht="13.5" customHeight="1">
      <c r="B22" s="16" t="s">
        <v>306</v>
      </c>
      <c r="H22" s="17" t="s">
        <v>307</v>
      </c>
    </row>
    <row r="23" ht="33.75" customHeight="1">
      <c r="B23" s="4" t="s">
        <v>8</v>
      </c>
      <c r="C23" s="4" t="str">
        <f>Lists!$A$2</f>
        <v>Michael Max</v>
      </c>
      <c r="D23" s="4" t="str">
        <f>Lists!$A$3</f>
        <v>Parth</v>
      </c>
      <c r="E23" s="4" t="str">
        <f>Lists!$A$4</f>
        <v>Jingwei Lin</v>
      </c>
      <c r="F23" s="4" t="str">
        <f>Lists!$A$5</f>
        <v>Hanchen Wang</v>
      </c>
      <c r="G23" s="4" t="str">
        <f>Lists!$A$6</f>
        <v>Yi Geng</v>
      </c>
      <c r="H23" s="4" t="str">
        <f>Lists!$A$7</f>
        <v>Dishank Aswal</v>
      </c>
      <c r="I23" s="4" t="str">
        <f>Lists!$A$8</f>
        <v>Kanishka Kathait</v>
      </c>
      <c r="J23" s="4" t="str">
        <f>Lists!$A$9</f>
        <v>Tim Chung</v>
      </c>
      <c r="K23" s="4" t="s">
        <v>310</v>
      </c>
    </row>
    <row r="24" ht="13.5" customHeight="1">
      <c r="B24" s="22" t="s">
        <v>311</v>
      </c>
      <c r="C24" s="23">
        <f>COUNTIFS('Contribution Log'!$B$2:$B$596,"W1",'Contribution Log'!$C$2:$C$596,Lists!$A$2)</f>
        <v>0</v>
      </c>
      <c r="D24" s="23">
        <f>COUNTIFS('Contribution Log'!$B$2:$B$596,"W1",'Contribution Log'!$C$2:$C$596,Lists!$A$3)</f>
        <v>0</v>
      </c>
      <c r="E24" s="23">
        <f>COUNTIFS('Contribution Log'!$B$2:$B$596,"W1",'Contribution Log'!$C$2:$C$596,Lists!$A$4)</f>
        <v>0</v>
      </c>
      <c r="F24" s="23">
        <f>COUNTIFS('Contribution Log'!$B$2:$B$596,"W1",'Contribution Log'!$C$2:$C$596,Lists!$A$5)</f>
        <v>0</v>
      </c>
      <c r="G24" s="23">
        <f>COUNTIFS('Contribution Log'!$B$2:$B$596,"W1",'Contribution Log'!$C$2:$C$596,Lists!$A$6)</f>
        <v>0</v>
      </c>
      <c r="H24" s="23">
        <f>COUNTIFS('Contribution Log'!$B$2:$B$596,"W1",'Contribution Log'!$C$2:$C$596,Lists!$A$7)</f>
        <v>0</v>
      </c>
      <c r="I24" s="23">
        <f>COUNTIFS('Contribution Log'!$B$2:$B$596,"W1",'Contribution Log'!$C$2:$C$596,Lists!$A$8)</f>
        <v>0</v>
      </c>
      <c r="J24" s="23">
        <f>COUNTIFS('Contribution Log'!$B$2:$B$596,"W1",'Contribution Log'!$C$2:$C$596,Lists!$A$9)</f>
        <v>0</v>
      </c>
      <c r="K24" s="65">
        <f>COUNTIF('Contribution Log'!$B$2:$B$596,"W1")</f>
        <v>0</v>
      </c>
    </row>
    <row r="25" ht="13.5" customHeight="1">
      <c r="B25" s="22" t="s">
        <v>318</v>
      </c>
      <c r="C25" s="23">
        <f>COUNTIFS('Contribution Log'!$B$2:$B$596,"W2",'Contribution Log'!$C$2:$C$596,Lists!$A$2)</f>
        <v>0</v>
      </c>
      <c r="D25" s="23">
        <f>COUNTIFS('Contribution Log'!$B$2:$B$596,"W2",'Contribution Log'!$C$2:$C$596,Lists!$A$3)</f>
        <v>0</v>
      </c>
      <c r="E25" s="23">
        <f>COUNTIFS('Contribution Log'!$B$2:$B$596,"W2",'Contribution Log'!$C$2:$C$596,Lists!$A$4)</f>
        <v>0</v>
      </c>
      <c r="F25" s="23">
        <f>COUNTIFS('Contribution Log'!$B$2:$B$596,"W2",'Contribution Log'!$C$2:$C$596,Lists!$A$5)</f>
        <v>0</v>
      </c>
      <c r="G25" s="23">
        <f>COUNTIFS('Contribution Log'!$B$2:$B$596,"W2",'Contribution Log'!$C$2:$C$596,Lists!$A$6)</f>
        <v>0</v>
      </c>
      <c r="H25" s="23">
        <f>COUNTIFS('Contribution Log'!$B$2:$B$596,"W2",'Contribution Log'!$C$2:$C$596,Lists!$A$7)</f>
        <v>0</v>
      </c>
      <c r="I25" s="23">
        <f>COUNTIFS('Contribution Log'!$B$2:$B$596,"W2",'Contribution Log'!$C$2:$C$596,Lists!$A$8)</f>
        <v>0</v>
      </c>
      <c r="J25" s="23">
        <f>COUNTIFS('Contribution Log'!$B$2:$B$596,"W2",'Contribution Log'!$C$2:$C$596,Lists!$A$9)</f>
        <v>0</v>
      </c>
      <c r="K25" s="65">
        <f>COUNTIF('Contribution Log'!$B$2:$B$596,"W2")</f>
        <v>0</v>
      </c>
    </row>
    <row r="26" ht="13.5" customHeight="1">
      <c r="B26" s="22" t="s">
        <v>342</v>
      </c>
      <c r="C26" s="23">
        <f>COUNTIFS('Contribution Log'!$B$2:$B$596,"W3",'Contribution Log'!$C$2:$C$596,Lists!$A$2)</f>
        <v>0</v>
      </c>
      <c r="D26" s="23">
        <f>COUNTIFS('Contribution Log'!$B$2:$B$596,"W3",'Contribution Log'!$C$2:$C$596,Lists!$A$3)</f>
        <v>0</v>
      </c>
      <c r="E26" s="23">
        <f>COUNTIFS('Contribution Log'!$B$2:$B$596,"W3",'Contribution Log'!$C$2:$C$596,Lists!$A$4)</f>
        <v>0</v>
      </c>
      <c r="F26" s="23">
        <f>COUNTIFS('Contribution Log'!$B$2:$B$596,"W3",'Contribution Log'!$C$2:$C$596,Lists!$A$5)</f>
        <v>0</v>
      </c>
      <c r="G26" s="23">
        <f>COUNTIFS('Contribution Log'!$B$2:$B$596,"W3",'Contribution Log'!$C$2:$C$596,Lists!$A$6)</f>
        <v>0</v>
      </c>
      <c r="H26" s="23">
        <f>COUNTIFS('Contribution Log'!$B$2:$B$596,"W3",'Contribution Log'!$C$2:$C$596,Lists!$A$7)</f>
        <v>0</v>
      </c>
      <c r="I26" s="23">
        <f>COUNTIFS('Contribution Log'!$B$2:$B$596,"W3",'Contribution Log'!$C$2:$C$596,Lists!$A$8)</f>
        <v>0</v>
      </c>
      <c r="J26" s="23">
        <f>COUNTIFS('Contribution Log'!$B$2:$B$596,"W3",'Contribution Log'!$C$2:$C$596,Lists!$A$9)</f>
        <v>0</v>
      </c>
      <c r="K26" s="65">
        <f>COUNTIF('Contribution Log'!$B$2:$B$596,"W3")</f>
        <v>0</v>
      </c>
    </row>
    <row r="27" ht="13.5" customHeight="1">
      <c r="B27" s="22" t="s">
        <v>353</v>
      </c>
      <c r="C27" s="23">
        <f>COUNTIFS('Contribution Log'!$B$2:$B$596,"W4",'Contribution Log'!$C$2:$C$596,Lists!$A$2)</f>
        <v>0</v>
      </c>
      <c r="D27" s="23">
        <f>COUNTIFS('Contribution Log'!$B$2:$B$596,"W4",'Contribution Log'!$C$2:$C$596,Lists!$A$3)</f>
        <v>0</v>
      </c>
      <c r="E27" s="23">
        <f>COUNTIFS('Contribution Log'!$B$2:$B$596,"W4",'Contribution Log'!$C$2:$C$596,Lists!$A$4)</f>
        <v>0</v>
      </c>
      <c r="F27" s="23">
        <f>COUNTIFS('Contribution Log'!$B$2:$B$596,"W4",'Contribution Log'!$C$2:$C$596,Lists!$A$5)</f>
        <v>0</v>
      </c>
      <c r="G27" s="23">
        <f>COUNTIFS('Contribution Log'!$B$2:$B$596,"W4",'Contribution Log'!$C$2:$C$596,Lists!$A$6)</f>
        <v>1</v>
      </c>
      <c r="H27" s="23">
        <f>COUNTIFS('Contribution Log'!$B$2:$B$596,"W4",'Contribution Log'!$C$2:$C$596,Lists!$A$7)</f>
        <v>0</v>
      </c>
      <c r="I27" s="23">
        <f>COUNTIFS('Contribution Log'!$B$2:$B$596,"W4",'Contribution Log'!$C$2:$C$596,Lists!$A$8)</f>
        <v>0</v>
      </c>
      <c r="J27" s="23">
        <f>COUNTIFS('Contribution Log'!$B$2:$B$596,"W4",'Contribution Log'!$C$2:$C$596,Lists!$A$9)</f>
        <v>0</v>
      </c>
      <c r="K27" s="65">
        <f>COUNTIF('Contribution Log'!$B$2:$B$596,"W4")</f>
        <v>1</v>
      </c>
    </row>
    <row r="28" ht="13.5" customHeight="1">
      <c r="B28" s="22" t="s">
        <v>368</v>
      </c>
      <c r="C28" s="23">
        <f>COUNTIFS('Contribution Log'!$B$2:$B$596,"W5",'Contribution Log'!$C$2:$C$596,Lists!$A$2)</f>
        <v>0</v>
      </c>
      <c r="D28" s="23">
        <f>COUNTIFS('Contribution Log'!$B$2:$B$596,"W5",'Contribution Log'!$C$2:$C$596,Lists!$A$3)</f>
        <v>0</v>
      </c>
      <c r="E28" s="23">
        <f>COUNTIFS('Contribution Log'!$B$2:$B$596,"W5",'Contribution Log'!$C$2:$C$596,Lists!$A$4)</f>
        <v>0</v>
      </c>
      <c r="F28" s="23">
        <f>COUNTIFS('Contribution Log'!$B$2:$B$596,"W5",'Contribution Log'!$C$2:$C$596,Lists!$A$5)</f>
        <v>0</v>
      </c>
      <c r="G28" s="23">
        <f>COUNTIFS('Contribution Log'!$B$2:$B$596,"W5",'Contribution Log'!$C$2:$C$596,Lists!$A$6)</f>
        <v>0</v>
      </c>
      <c r="H28" s="23">
        <f>COUNTIFS('Contribution Log'!$B$2:$B$596,"W5",'Contribution Log'!$C$2:$C$596,Lists!$A$7)</f>
        <v>0</v>
      </c>
      <c r="I28" s="23">
        <f>COUNTIFS('Contribution Log'!$B$2:$B$596,"W5",'Contribution Log'!$C$2:$C$596,Lists!$A$8)</f>
        <v>0</v>
      </c>
      <c r="J28" s="23">
        <f>COUNTIFS('Contribution Log'!$B$2:$B$596,"W5",'Contribution Log'!$C$2:$C$596,Lists!$A$9)</f>
        <v>0</v>
      </c>
      <c r="K28" s="65">
        <f>COUNTIF('Contribution Log'!$B$2:$B$596,"W5")</f>
        <v>0</v>
      </c>
    </row>
    <row r="29" ht="13.5" customHeight="1">
      <c r="B29" s="22" t="s">
        <v>386</v>
      </c>
      <c r="C29" s="23">
        <f>COUNTIFS('Contribution Log'!$B$2:$B$596,"W6",'Contribution Log'!$C$2:$C$596,Lists!$A$2)</f>
        <v>3</v>
      </c>
      <c r="D29" s="23">
        <f>COUNTIFS('Contribution Log'!$B$2:$B$596,"W6",'Contribution Log'!$C$2:$C$596,Lists!$A$3)</f>
        <v>0</v>
      </c>
      <c r="E29" s="23">
        <f>COUNTIFS('Contribution Log'!$B$2:$B$596,"W6",'Contribution Log'!$C$2:$C$596,Lists!$A$4)</f>
        <v>3</v>
      </c>
      <c r="F29" s="23">
        <f>COUNTIFS('Contribution Log'!$B$2:$B$596,"W6",'Contribution Log'!$C$2:$C$596,Lists!$A$5)</f>
        <v>2</v>
      </c>
      <c r="G29" s="23">
        <f>COUNTIFS('Contribution Log'!$B$2:$B$596,"W6",'Contribution Log'!$C$2:$C$596,Lists!$A$6)</f>
        <v>0</v>
      </c>
      <c r="H29" s="23">
        <f>COUNTIFS('Contribution Log'!$B$2:$B$596,"W6",'Contribution Log'!$C$2:$C$596,Lists!$A$7)</f>
        <v>2</v>
      </c>
      <c r="I29" s="23">
        <f>COUNTIFS('Contribution Log'!$B$2:$B$596,"W6",'Contribution Log'!$C$2:$C$596,Lists!$A$8)</f>
        <v>1</v>
      </c>
      <c r="J29" s="23">
        <f>COUNTIFS('Contribution Log'!$B$2:$B$596,"W6",'Contribution Log'!$C$2:$C$596,Lists!$A$9)</f>
        <v>0</v>
      </c>
      <c r="K29" s="65">
        <f>COUNTIF('Contribution Log'!$B$2:$B$596,"W6")</f>
        <v>11</v>
      </c>
    </row>
    <row r="30" ht="13.5" customHeight="1">
      <c r="B30" s="22" t="s">
        <v>238</v>
      </c>
      <c r="C30" s="23">
        <f>COUNTIFS('Contribution Log'!$B$2:$B$596,"W7",'Contribution Log'!$C$2:$C$596,Lists!$A$2)</f>
        <v>4</v>
      </c>
      <c r="D30" s="23">
        <f>COUNTIFS('Contribution Log'!$B$2:$B$596,"W7",'Contribution Log'!$C$2:$C$596,Lists!$A$3)</f>
        <v>4</v>
      </c>
      <c r="E30" s="23">
        <f>COUNTIFS('Contribution Log'!$B$2:$B$596,"W7",'Contribution Log'!$C$2:$C$596,Lists!$A$4)</f>
        <v>1</v>
      </c>
      <c r="F30" s="23">
        <f>COUNTIFS('Contribution Log'!$B$2:$B$596,"W7",'Contribution Log'!$C$2:$C$596,Lists!$A$5)</f>
        <v>2</v>
      </c>
      <c r="G30" s="23">
        <f>COUNTIFS('Contribution Log'!$B$2:$B$596,"W7",'Contribution Log'!$C$2:$C$596,Lists!$A$6)</f>
        <v>2</v>
      </c>
      <c r="H30" s="23">
        <f>COUNTIFS('Contribution Log'!$B$2:$B$596,"W7",'Contribution Log'!$C$2:$C$596,Lists!$A$7)</f>
        <v>1</v>
      </c>
      <c r="I30" s="23">
        <f>COUNTIFS('Contribution Log'!$B$2:$B$596,"W7",'Contribution Log'!$C$2:$C$596,Lists!$A$8)</f>
        <v>0</v>
      </c>
      <c r="J30" s="23">
        <f>COUNTIFS('Contribution Log'!$B$2:$B$596,"W7",'Contribution Log'!$C$2:$C$596,Lists!$A$9)</f>
        <v>2</v>
      </c>
      <c r="K30" s="65">
        <f>COUNTIF('Contribution Log'!$B$2:$B$596,"W7")</f>
        <v>16</v>
      </c>
    </row>
    <row r="31" ht="13.5" customHeight="1">
      <c r="B31" s="22" t="s">
        <v>269</v>
      </c>
      <c r="C31" s="23">
        <f>COUNTIFS('Contribution Log'!$B$2:$B$596,"W8",'Contribution Log'!$C$2:$C$596,Lists!$A$2)</f>
        <v>2</v>
      </c>
      <c r="D31" s="23">
        <f>COUNTIFS('Contribution Log'!$B$2:$B$596,"W8",'Contribution Log'!$C$2:$C$596,Lists!$A$3)</f>
        <v>0</v>
      </c>
      <c r="E31" s="23">
        <f>COUNTIFS('Contribution Log'!$B$2:$B$596,"W8",'Contribution Log'!$C$2:$C$596,Lists!$A$4)</f>
        <v>0</v>
      </c>
      <c r="F31" s="23">
        <f>COUNTIFS('Contribution Log'!$B$2:$B$596,"W8",'Contribution Log'!$C$2:$C$596,Lists!$A$5)</f>
        <v>0</v>
      </c>
      <c r="G31" s="23">
        <f>COUNTIFS('Contribution Log'!$B$2:$B$596,"W8",'Contribution Log'!$C$2:$C$596,Lists!$A$6)</f>
        <v>0</v>
      </c>
      <c r="H31" s="23">
        <f>COUNTIFS('Contribution Log'!$B$2:$B$596,"W8",'Contribution Log'!$C$2:$C$596,Lists!$A$7)</f>
        <v>0</v>
      </c>
      <c r="I31" s="23">
        <f>COUNTIFS('Contribution Log'!$B$2:$B$596,"W8",'Contribution Log'!$C$2:$C$596,Lists!$A$8)</f>
        <v>0</v>
      </c>
      <c r="J31" s="23">
        <f>COUNTIFS('Contribution Log'!$B$2:$B$596,"W8",'Contribution Log'!$C$2:$C$596,Lists!$A$9)</f>
        <v>0</v>
      </c>
      <c r="K31" s="65">
        <f>COUNTIF('Contribution Log'!$B$2:$B$596,"W8")</f>
        <v>2</v>
      </c>
    </row>
    <row r="32" ht="13.5" customHeight="1">
      <c r="B32" s="22" t="s">
        <v>446</v>
      </c>
      <c r="C32" s="23">
        <f>COUNTIFS('Contribution Log'!$B$2:$B$596,"Break",'Contribution Log'!$C$2:$C$596,Lists!$A$2)</f>
        <v>0</v>
      </c>
      <c r="D32" s="23">
        <f>COUNTIFS('Contribution Log'!$B$2:$B$596,"Break",'Contribution Log'!$C$2:$C$596,Lists!$A$3)</f>
        <v>0</v>
      </c>
      <c r="E32" s="23">
        <f>COUNTIFS('Contribution Log'!$B$2:$B$596,"Break",'Contribution Log'!$C$2:$C$596,Lists!$A$4)</f>
        <v>0</v>
      </c>
      <c r="F32" s="23">
        <f>COUNTIFS('Contribution Log'!$B$2:$B$596,"Break",'Contribution Log'!$C$2:$C$596,Lists!$A$5)</f>
        <v>0</v>
      </c>
      <c r="G32" s="23">
        <f>COUNTIFS('Contribution Log'!$B$2:$B$596,"Break",'Contribution Log'!$C$2:$C$596,Lists!$A$6)</f>
        <v>0</v>
      </c>
      <c r="H32" s="23">
        <f>COUNTIFS('Contribution Log'!$B$2:$B$596,"Break",'Contribution Log'!$C$2:$C$596,Lists!$A$7)</f>
        <v>0</v>
      </c>
      <c r="I32" s="23">
        <f>COUNTIFS('Contribution Log'!$B$2:$B$596,"Break",'Contribution Log'!$C$2:$C$596,Lists!$A$8)</f>
        <v>0</v>
      </c>
      <c r="J32" s="23">
        <f>COUNTIFS('Contribution Log'!$B$2:$B$596,"Break",'Contribution Log'!$C$2:$C$596,Lists!$A$9)</f>
        <v>0</v>
      </c>
      <c r="K32" s="65">
        <f>COUNTIF('Contribution Log'!$B$2:$B$596,"Break")</f>
        <v>0</v>
      </c>
    </row>
    <row r="33" ht="13.5" customHeight="1">
      <c r="B33" s="22" t="s">
        <v>369</v>
      </c>
      <c r="C33" s="23">
        <f>COUNTIFS('Contribution Log'!$B$2:$B$596,"W9",'Contribution Log'!$C$2:$C$596,Lists!$A$2)</f>
        <v>0</v>
      </c>
      <c r="D33" s="23">
        <f>COUNTIFS('Contribution Log'!$B$2:$B$596,"W9",'Contribution Log'!$C$2:$C$596,Lists!$A$3)</f>
        <v>0</v>
      </c>
      <c r="E33" s="23">
        <f>COUNTIFS('Contribution Log'!$B$2:$B$596,"W9",'Contribution Log'!$C$2:$C$596,Lists!$A$4)</f>
        <v>0</v>
      </c>
      <c r="F33" s="23">
        <f>COUNTIFS('Contribution Log'!$B$2:$B$596,"W9",'Contribution Log'!$C$2:$C$596,Lists!$A$5)</f>
        <v>0</v>
      </c>
      <c r="G33" s="23">
        <f>COUNTIFS('Contribution Log'!$B$2:$B$596,"W9",'Contribution Log'!$C$2:$C$596,Lists!$A$6)</f>
        <v>0</v>
      </c>
      <c r="H33" s="23">
        <f>COUNTIFS('Contribution Log'!$B$2:$B$596,"W9",'Contribution Log'!$C$2:$C$596,Lists!$A$7)</f>
        <v>0</v>
      </c>
      <c r="I33" s="23">
        <f>COUNTIFS('Contribution Log'!$B$2:$B$596,"W9",'Contribution Log'!$C$2:$C$596,Lists!$A$8)</f>
        <v>0</v>
      </c>
      <c r="J33" s="23">
        <f>COUNTIFS('Contribution Log'!$B$2:$B$596,"W9",'Contribution Log'!$C$2:$C$596,Lists!$A$9)</f>
        <v>0</v>
      </c>
      <c r="K33" s="65">
        <f>COUNTIF('Contribution Log'!$B$2:$B$596,"W9")</f>
        <v>0</v>
      </c>
    </row>
    <row r="34" ht="13.5" customHeight="1">
      <c r="B34" s="22" t="s">
        <v>486</v>
      </c>
      <c r="C34" s="23">
        <f>COUNTIFS('Contribution Log'!$B$2:$B$596,"W10",'Contribution Log'!$C$2:$C$596,Lists!$A$2)</f>
        <v>0</v>
      </c>
      <c r="D34" s="23">
        <f>COUNTIFS('Contribution Log'!$B$2:$B$596,"W10",'Contribution Log'!$C$2:$C$596,Lists!$A$3)</f>
        <v>0</v>
      </c>
      <c r="E34" s="23">
        <f>COUNTIFS('Contribution Log'!$B$2:$B$596,"W10",'Contribution Log'!$C$2:$C$596,Lists!$A$4)</f>
        <v>0</v>
      </c>
      <c r="F34" s="23">
        <f>COUNTIFS('Contribution Log'!$B$2:$B$596,"W10",'Contribution Log'!$C$2:$C$596,Lists!$A$5)</f>
        <v>0</v>
      </c>
      <c r="G34" s="23">
        <f>COUNTIFS('Contribution Log'!$B$2:$B$596,"W10",'Contribution Log'!$C$2:$C$596,Lists!$A$6)</f>
        <v>0</v>
      </c>
      <c r="H34" s="23">
        <f>COUNTIFS('Contribution Log'!$B$2:$B$596,"W10",'Contribution Log'!$C$2:$C$596,Lists!$A$7)</f>
        <v>0</v>
      </c>
      <c r="I34" s="23">
        <f>COUNTIFS('Contribution Log'!$B$2:$B$596,"W10",'Contribution Log'!$C$2:$C$596,Lists!$A$8)</f>
        <v>0</v>
      </c>
      <c r="J34" s="23">
        <f>COUNTIFS('Contribution Log'!$B$2:$B$596,"W10",'Contribution Log'!$C$2:$C$596,Lists!$A$9)</f>
        <v>0</v>
      </c>
      <c r="K34" s="65">
        <f>COUNTIF('Contribution Log'!$B$2:$B$596,"W10")</f>
        <v>0</v>
      </c>
    </row>
    <row r="35" ht="13.5" customHeight="1">
      <c r="B35" s="22" t="s">
        <v>509</v>
      </c>
      <c r="C35" s="23">
        <f>COUNTIFS('Contribution Log'!$B$2:$B$596,"W11",'Contribution Log'!$C$2:$C$596,Lists!$A$2)</f>
        <v>0</v>
      </c>
      <c r="D35" s="23">
        <f>COUNTIFS('Contribution Log'!$B$2:$B$596,"W11",'Contribution Log'!$C$2:$C$596,Lists!$A$3)</f>
        <v>0</v>
      </c>
      <c r="E35" s="23">
        <f>COUNTIFS('Contribution Log'!$B$2:$B$596,"W11",'Contribution Log'!$C$2:$C$596,Lists!$A$4)</f>
        <v>0</v>
      </c>
      <c r="F35" s="23">
        <f>COUNTIFS('Contribution Log'!$B$2:$B$596,"W11",'Contribution Log'!$C$2:$C$596,Lists!$A$5)</f>
        <v>0</v>
      </c>
      <c r="G35" s="23">
        <f>COUNTIFS('Contribution Log'!$B$2:$B$596,"W11",'Contribution Log'!$C$2:$C$596,Lists!$A$6)</f>
        <v>0</v>
      </c>
      <c r="H35" s="23">
        <f>COUNTIFS('Contribution Log'!$B$2:$B$596,"W11",'Contribution Log'!$C$2:$C$596,Lists!$A$7)</f>
        <v>0</v>
      </c>
      <c r="I35" s="23">
        <f>COUNTIFS('Contribution Log'!$B$2:$B$596,"W11",'Contribution Log'!$C$2:$C$596,Lists!$A$8)</f>
        <v>0</v>
      </c>
      <c r="J35" s="23">
        <f>COUNTIFS('Contribution Log'!$B$2:$B$596,"W11",'Contribution Log'!$C$2:$C$596,Lists!$A$9)</f>
        <v>0</v>
      </c>
      <c r="K35" s="65">
        <f>COUNTIF('Contribution Log'!$B$2:$B$596,"W11")</f>
        <v>0</v>
      </c>
    </row>
    <row r="36" ht="13.5" customHeight="1">
      <c r="B36" s="22" t="s">
        <v>525</v>
      </c>
      <c r="C36" s="23">
        <f>COUNTIFS('Contribution Log'!$B$2:$B$596,"W12",'Contribution Log'!$C$2:$C$596,Lists!$A$2)</f>
        <v>0</v>
      </c>
      <c r="D36" s="23">
        <f>COUNTIFS('Contribution Log'!$B$2:$B$596,"W12",'Contribution Log'!$C$2:$C$596,Lists!$A$3)</f>
        <v>0</v>
      </c>
      <c r="E36" s="23">
        <f>COUNTIFS('Contribution Log'!$B$2:$B$596,"W12",'Contribution Log'!$C$2:$C$596,Lists!$A$4)</f>
        <v>0</v>
      </c>
      <c r="F36" s="23">
        <f>COUNTIFS('Contribution Log'!$B$2:$B$596,"W12",'Contribution Log'!$C$2:$C$596,Lists!$A$5)</f>
        <v>0</v>
      </c>
      <c r="G36" s="23">
        <f>COUNTIFS('Contribution Log'!$B$2:$B$596,"W12",'Contribution Log'!$C$2:$C$596,Lists!$A$6)</f>
        <v>0</v>
      </c>
      <c r="H36" s="23">
        <f>COUNTIFS('Contribution Log'!$B$2:$B$596,"W12",'Contribution Log'!$C$2:$C$596,Lists!$A$7)</f>
        <v>0</v>
      </c>
      <c r="I36" s="23">
        <f>COUNTIFS('Contribution Log'!$B$2:$B$596,"W12",'Contribution Log'!$C$2:$C$596,Lists!$A$8)</f>
        <v>0</v>
      </c>
      <c r="J36" s="23">
        <f>COUNTIFS('Contribution Log'!$B$2:$B$596,"W12",'Contribution Log'!$C$2:$C$596,Lists!$A$9)</f>
        <v>0</v>
      </c>
      <c r="K36" s="65">
        <f>COUNTIF('Contribution Log'!$B$2:$B$596,"W12")</f>
        <v>0</v>
      </c>
    </row>
    <row r="37" ht="13.5" customHeight="1"/>
    <row r="38" ht="13.5" customHeight="1">
      <c r="B38" s="16" t="s">
        <v>526</v>
      </c>
      <c r="H38" s="16" t="s">
        <v>527</v>
      </c>
    </row>
    <row r="39" ht="13.5" customHeight="1">
      <c r="B39" s="4" t="s">
        <v>19</v>
      </c>
      <c r="C39" s="4" t="s">
        <v>69</v>
      </c>
      <c r="E39" s="4" t="s">
        <v>18</v>
      </c>
      <c r="F39" s="4" t="s">
        <v>69</v>
      </c>
    </row>
    <row r="40" ht="13.5" customHeight="1">
      <c r="B40" s="41" t="str">
        <f>Lists!$E$2</f>
        <v>hej-web (frontend)</v>
      </c>
      <c r="C40" s="23">
        <f>COUNTIF('Contribution Log'!$J$2:$J$596,Lists!$E$2)</f>
        <v>5</v>
      </c>
      <c r="E40" s="41" t="str">
        <f>Lists!$D$2</f>
        <v>Feature</v>
      </c>
      <c r="F40" s="23">
        <f>COUNTIF('Contribution Log'!$I$2:$I$596,Lists!$D$2)</f>
        <v>11</v>
      </c>
      <c r="H40" s="41" t="s">
        <v>528</v>
      </c>
      <c r="I40" s="43">
        <f>COUNTIF('Contribution Log'!$E$2:$E$596,"OK")</f>
        <v>25</v>
      </c>
    </row>
    <row r="41" ht="13.5" customHeight="1">
      <c r="B41" s="41" t="str">
        <f>Lists!$E$3</f>
        <v>hej-api (backend)</v>
      </c>
      <c r="C41" s="23">
        <f>COUNTIF('Contribution Log'!$J$2:$J$596,Lists!$E$3)</f>
        <v>14</v>
      </c>
      <c r="E41" s="41" t="str">
        <f>Lists!$D$3</f>
        <v>Defect fix</v>
      </c>
      <c r="F41" s="23">
        <f>COUNTIF('Contribution Log'!$I$2:$I$596,Lists!$D$3)</f>
        <v>12</v>
      </c>
      <c r="H41" s="41" t="s">
        <v>529</v>
      </c>
      <c r="I41" s="43">
        <f>COUNTIF('Contribution Log'!$E$2:$E$596,"SELF-REVIEW")</f>
        <v>1</v>
      </c>
    </row>
    <row r="42" ht="13.5" customHeight="1">
      <c r="B42" s="41" t="str">
        <f>Lists!$E$4</f>
        <v>packages/ui</v>
      </c>
      <c r="C42" s="23">
        <f>COUNTIF('Contribution Log'!$J$2:$J$596,Lists!$E$4)</f>
        <v>0</v>
      </c>
      <c r="E42" s="41" t="str">
        <f>Lists!$D$4</f>
        <v>Refactor</v>
      </c>
      <c r="F42" s="23">
        <f>COUNTIF('Contribution Log'!$I$2:$I$596,Lists!$D$4)</f>
        <v>2</v>
      </c>
      <c r="H42" s="41" t="s">
        <v>530</v>
      </c>
      <c r="I42" s="43">
        <f>SUMPRODUCT(('Contribution Log'!$C$2:$C$596&lt;&gt;"")*('Contribution Log'!$D$2:$D$596=""))</f>
        <v>4</v>
      </c>
    </row>
    <row r="43" ht="13.5" customHeight="1">
      <c r="B43" s="41" t="str">
        <f>Lists!$E$5</f>
        <v>labeling_ai_assistnat_mvp (AI)</v>
      </c>
      <c r="C43" s="23">
        <f>COUNTIF('Contribution Log'!$J$2:$J$596,Lists!$E$5)</f>
        <v>1</v>
      </c>
      <c r="E43" s="41" t="str">
        <f>Lists!$D$5</f>
        <v>Tests</v>
      </c>
      <c r="F43" s="23">
        <f>COUNTIF('Contribution Log'!$I$2:$I$596,Lists!$D$5)</f>
        <v>0</v>
      </c>
      <c r="H43" s="41" t="s">
        <v>531</v>
      </c>
      <c r="I43" s="43">
        <f>SUMPRODUCT(('Contribution Log'!$C$2:$C$596&lt;&gt;"")*('Contribution Log'!$K$2:$K$596=""))</f>
        <v>4</v>
      </c>
    </row>
    <row r="44" ht="13.5" customHeight="1">
      <c r="B44" s="41" t="str">
        <f>Lists!$E$6</f>
        <v>Database / schema</v>
      </c>
      <c r="C44" s="23">
        <f>COUNTIF('Contribution Log'!$J$2:$J$596,Lists!$E$6)</f>
        <v>2</v>
      </c>
      <c r="E44" s="41" t="str">
        <f>Lists!$D$6</f>
        <v>Documentation</v>
      </c>
      <c r="F44" s="23">
        <f>COUNTIF('Contribution Log'!$I$2:$I$596,Lists!$D$6)</f>
        <v>1</v>
      </c>
      <c r="H44" s="41" t="s">
        <v>532</v>
      </c>
      <c r="I44" s="43">
        <f>SUMPRODUCT(('Contribution Log'!$C$2:$C$596&lt;&gt;"")*('Contribution Log'!$P$2:$P$596=""))</f>
        <v>6</v>
      </c>
    </row>
    <row r="45" ht="13.5" customHeight="1">
      <c r="B45" s="41" t="str">
        <f>Lists!$E$7</f>
        <v>CI / tooling</v>
      </c>
      <c r="C45" s="23">
        <f>COUNTIF('Contribution Log'!$J$2:$J$596,Lists!$E$7)</f>
        <v>2</v>
      </c>
      <c r="E45" s="41" t="str">
        <f>Lists!$D$7</f>
        <v>Spike / Research</v>
      </c>
      <c r="F45" s="23">
        <f>COUNTIF('Contribution Log'!$I$2:$I$596,Lists!$D$7)</f>
        <v>0</v>
      </c>
    </row>
    <row r="46" ht="13.5" customHeight="1">
      <c r="B46" s="41" t="str">
        <f>Lists!$E$8</f>
        <v>Docs / report</v>
      </c>
      <c r="C46" s="23">
        <f>COUNTIF('Contribution Log'!$J$2:$J$596,Lists!$E$8)</f>
        <v>1</v>
      </c>
      <c r="E46" s="41" t="str">
        <f>Lists!$D$8</f>
        <v>DevOps / CI</v>
      </c>
      <c r="F46" s="23">
        <f>COUNTIF('Contribution Log'!$I$2:$I$596,Lists!$D$8)</f>
        <v>2</v>
      </c>
    </row>
    <row r="47" ht="13.5" customHeight="1">
      <c r="B47" s="41" t="str">
        <f>Lists!$E$9</f>
        <v>Other</v>
      </c>
      <c r="C47" s="23">
        <f>COUNTIF('Contribution Log'!$J$2:$J$596,Lists!$E$9)</f>
        <v>1</v>
      </c>
      <c r="E47" s="41" t="str">
        <f>Lists!$D$9</f>
        <v>Client / PM / Report</v>
      </c>
      <c r="F47" s="23">
        <f>COUNTIF('Contribution Log'!$I$2:$I$596,Lists!$D$9)</f>
        <v>0</v>
      </c>
    </row>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B5:D5"/>
    <mergeCell ref="E5:G5"/>
    <mergeCell ref="H5:J5"/>
    <mergeCell ref="K5:M5"/>
    <mergeCell ref="B6:D6"/>
    <mergeCell ref="E6:G6"/>
    <mergeCell ref="H6:J6"/>
    <mergeCell ref="K6:M6"/>
  </mergeCells>
  <conditionalFormatting sqref="I41:I44">
    <cfRule type="cellIs" dxfId="1" priority="1" operator="greaterThan">
      <formula>0</formula>
    </cfRule>
  </conditionalFormatting>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2.0" topLeftCell="C1" activePane="topRight" state="frozen"/>
      <selection activeCell="D2" sqref="D2" pane="topRight"/>
    </sheetView>
  </sheetViews>
  <sheetFormatPr customHeight="1" defaultColWidth="14.43" defaultRowHeight="15.0"/>
  <cols>
    <col customWidth="1" min="1" max="1" width="3.0"/>
    <col customWidth="1" min="2" max="2" width="11.0"/>
    <col customWidth="1" min="3" max="3" width="19.43"/>
    <col customWidth="1" min="4" max="4" width="29.57"/>
    <col customWidth="1" min="5" max="5" width="17.0"/>
    <col customWidth="1" min="6" max="6" width="7.0"/>
    <col customWidth="1" min="7" max="7" width="30.0"/>
    <col customWidth="1" min="8" max="8" width="62.0"/>
    <col customWidth="1" min="9" max="9" width="20.0"/>
    <col customWidth="1" min="10" max="10" width="13.0"/>
    <col customWidth="1" min="11" max="11" width="8.0"/>
    <col customWidth="1" min="12" max="13" width="8.71"/>
  </cols>
  <sheetData>
    <row r="1" ht="13.5" customHeight="1"/>
    <row r="2" ht="30.0" customHeight="1">
      <c r="B2" s="1" t="s">
        <v>2</v>
      </c>
    </row>
    <row r="3" ht="13.5" customHeight="1">
      <c r="B3" s="3" t="s">
        <v>5</v>
      </c>
    </row>
    <row r="4" ht="13.5" customHeight="1"/>
    <row r="5" ht="13.5" customHeight="1">
      <c r="B5" s="8" t="s">
        <v>9</v>
      </c>
      <c r="C5" s="11"/>
      <c r="D5" s="8" t="s">
        <v>28</v>
      </c>
      <c r="E5" s="11"/>
      <c r="F5" s="8" t="s">
        <v>31</v>
      </c>
      <c r="G5" s="11"/>
      <c r="H5" s="8" t="s">
        <v>32</v>
      </c>
      <c r="I5" s="11"/>
      <c r="J5" s="8" t="s">
        <v>34</v>
      </c>
      <c r="K5" s="11"/>
      <c r="L5" s="8" t="s">
        <v>36</v>
      </c>
      <c r="M5" s="11"/>
    </row>
    <row r="6" ht="30.0" customHeight="1">
      <c r="B6" s="15">
        <v>76.0</v>
      </c>
      <c r="C6" s="11"/>
      <c r="D6" s="15">
        <v>1.0</v>
      </c>
      <c r="E6" s="11"/>
      <c r="F6" s="15">
        <v>3.0</v>
      </c>
      <c r="G6" s="11"/>
      <c r="H6" s="15">
        <v>31.0</v>
      </c>
      <c r="I6" s="11"/>
      <c r="J6" s="15">
        <v>18.0</v>
      </c>
      <c r="K6" s="11"/>
      <c r="L6" s="15">
        <v>36</v>
      </c>
      <c r="M6" s="11"/>
    </row>
    <row r="7" ht="13.5" customHeight="1"/>
    <row r="8" ht="13.5" customHeight="1">
      <c r="B8" s="16" t="s">
        <v>50</v>
      </c>
      <c r="H8" s="17" t="s">
        <v>52</v>
      </c>
    </row>
    <row r="9" ht="27.75" customHeight="1">
      <c r="B9" s="4" t="s">
        <v>55</v>
      </c>
      <c r="C9" s="4" t="s">
        <v>57</v>
      </c>
      <c r="D9" s="20" t="s">
        <v>59</v>
      </c>
      <c r="E9" s="21"/>
      <c r="F9" s="4" t="s">
        <v>64</v>
      </c>
      <c r="G9" s="4" t="s">
        <v>65</v>
      </c>
      <c r="H9" s="4" t="s">
        <v>67</v>
      </c>
      <c r="I9" s="4" t="s">
        <v>68</v>
      </c>
      <c r="J9" s="4" t="s">
        <v>69</v>
      </c>
    </row>
    <row r="10" ht="25.5" customHeight="1">
      <c r="B10" s="22" t="s">
        <v>72</v>
      </c>
      <c r="C10" s="24" t="s">
        <v>75</v>
      </c>
      <c r="D10" s="26" t="s">
        <v>78</v>
      </c>
      <c r="E10" s="21"/>
      <c r="F10" s="23">
        <f>COUNTIF(Lists!$X$3:$X$61,$C10)</f>
        <v>1</v>
      </c>
      <c r="G10" s="23">
        <f>COUNTIFS(Lists!$X$3:$X$61,$C10,Lists!$Y$3:$Y$61,"To Do")+COUNTIFS(Lists!$X$3:$X$61,$C10,Lists!$Y$3:$Y$61,"Not on board")</f>
        <v>0</v>
      </c>
      <c r="H10" s="23">
        <f>COUNTIFS(Lists!$X$3:$X$61,$C10,Lists!$Y$3:$Y$61,"In progress")</f>
        <v>1</v>
      </c>
      <c r="I10" s="23">
        <f>COUNTIFS(Lists!$X$3:$X$61,$C10,Lists!$Y$3:$Y$61,"Done")</f>
        <v>0</v>
      </c>
      <c r="J10" s="18">
        <f t="array" ref="J10">SUMPRODUCT((Lists!$X$3:$X$61=$C10)*COUNTIF('Contribution Log'!$K$2:$K$596,Lists!$K$3:$K$61))</f>
        <v>4</v>
      </c>
    </row>
    <row r="11" ht="25.5" customHeight="1">
      <c r="B11" s="22" t="s">
        <v>127</v>
      </c>
      <c r="C11" s="24" t="s">
        <v>128</v>
      </c>
      <c r="D11" s="26" t="s">
        <v>129</v>
      </c>
      <c r="E11" s="21"/>
      <c r="F11" s="23">
        <f>COUNTIF(Lists!$X$3:$X$61,$C11)</f>
        <v>1</v>
      </c>
      <c r="G11" s="23">
        <f>COUNTIFS(Lists!$X$3:$X$61,$C11,Lists!$Y$3:$Y$61,"To Do")+COUNTIFS(Lists!$X$3:$X$61,$C11,Lists!$Y$3:$Y$61,"Not on board")</f>
        <v>0</v>
      </c>
      <c r="H11" s="23">
        <f>COUNTIFS(Lists!$X$3:$X$61,$C11,Lists!$Y$3:$Y$61,"In progress")</f>
        <v>0</v>
      </c>
      <c r="I11" s="23">
        <f>COUNTIFS(Lists!$X$3:$X$61,$C11,Lists!$Y$3:$Y$61,"Done")</f>
        <v>1</v>
      </c>
      <c r="J11" s="18">
        <f t="array" ref="J11">SUMPRODUCT((Lists!$X$3:$X$61=$C11)*COUNTIF('Contribution Log'!$K$2:$K$596,Lists!$K$3:$K$61))</f>
        <v>1</v>
      </c>
    </row>
    <row r="12" ht="25.5" customHeight="1">
      <c r="B12" s="22" t="s">
        <v>147</v>
      </c>
      <c r="C12" s="24" t="s">
        <v>148</v>
      </c>
      <c r="D12" s="26" t="s">
        <v>149</v>
      </c>
      <c r="E12" s="21"/>
      <c r="F12" s="23">
        <f>COUNTIF(Lists!$X$3:$X$61,$C12)</f>
        <v>7</v>
      </c>
      <c r="G12" s="23">
        <f>COUNTIFS(Lists!$X$3:$X$61,$C12,Lists!$Y$3:$Y$61,"To Do")+COUNTIFS(Lists!$X$3:$X$61,$C12,Lists!$Y$3:$Y$61,"Not on board")</f>
        <v>4</v>
      </c>
      <c r="H12" s="23">
        <f>COUNTIFS(Lists!$X$3:$X$61,$C12,Lists!$Y$3:$Y$61,"In progress")</f>
        <v>2</v>
      </c>
      <c r="I12" s="23">
        <f>COUNTIFS(Lists!$X$3:$X$61,$C12,Lists!$Y$3:$Y$61,"Done")</f>
        <v>1</v>
      </c>
      <c r="J12" s="18">
        <f t="array" ref="J12">SUMPRODUCT((Lists!$X$3:$X$61=$C12)*COUNTIF('Contribution Log'!$K$2:$K$596,Lists!$K$3:$K$61))</f>
        <v>2</v>
      </c>
    </row>
    <row r="13" ht="25.5" customHeight="1">
      <c r="B13" s="22" t="s">
        <v>163</v>
      </c>
      <c r="C13" s="24" t="s">
        <v>164</v>
      </c>
      <c r="D13" s="26" t="s">
        <v>166</v>
      </c>
      <c r="E13" s="21"/>
      <c r="F13" s="23">
        <f>COUNTIF(Lists!$X$3:$X$61,$C13)</f>
        <v>4</v>
      </c>
      <c r="G13" s="23">
        <f>COUNTIFS(Lists!$X$3:$X$61,$C13,Lists!$Y$3:$Y$61,"To Do")+COUNTIFS(Lists!$X$3:$X$61,$C13,Lists!$Y$3:$Y$61,"Not on board")</f>
        <v>1</v>
      </c>
      <c r="H13" s="23">
        <f>COUNTIFS(Lists!$X$3:$X$61,$C13,Lists!$Y$3:$Y$61,"In progress")</f>
        <v>0</v>
      </c>
      <c r="I13" s="23">
        <f>COUNTIFS(Lists!$X$3:$X$61,$C13,Lists!$Y$3:$Y$61,"Done")</f>
        <v>3</v>
      </c>
      <c r="J13" s="18">
        <f t="array" ref="J13">SUMPRODUCT((Lists!$X$3:$X$61=$C13)*COUNTIF('Contribution Log'!$K$2:$K$596,Lists!$K$3:$K$61))</f>
        <v>4</v>
      </c>
    </row>
    <row r="14" ht="25.5" customHeight="1">
      <c r="B14" s="22" t="s">
        <v>178</v>
      </c>
      <c r="C14" s="24" t="s">
        <v>179</v>
      </c>
      <c r="D14" s="26" t="s">
        <v>180</v>
      </c>
      <c r="E14" s="21"/>
      <c r="F14" s="23">
        <f>COUNTIF(Lists!$X$3:$X$61,$C14)</f>
        <v>6</v>
      </c>
      <c r="G14" s="23">
        <f>COUNTIFS(Lists!$X$3:$X$61,$C14,Lists!$Y$3:$Y$61,"To Do")+COUNTIFS(Lists!$X$3:$X$61,$C14,Lists!$Y$3:$Y$61,"Not on board")</f>
        <v>3</v>
      </c>
      <c r="H14" s="23">
        <f>COUNTIFS(Lists!$X$3:$X$61,$C14,Lists!$Y$3:$Y$61,"In progress")</f>
        <v>2</v>
      </c>
      <c r="I14" s="23">
        <f>COUNTIFS(Lists!$X$3:$X$61,$C14,Lists!$Y$3:$Y$61,"Done")</f>
        <v>1</v>
      </c>
      <c r="J14" s="18">
        <f t="array" ref="J14">SUMPRODUCT((Lists!$X$3:$X$61=$C14)*COUNTIF('Contribution Log'!$K$2:$K$596,Lists!$K$3:$K$61))</f>
        <v>2</v>
      </c>
    </row>
    <row r="15" ht="25.5" customHeight="1">
      <c r="B15" s="22" t="s">
        <v>189</v>
      </c>
      <c r="C15" s="24" t="s">
        <v>190</v>
      </c>
      <c r="D15" s="26" t="s">
        <v>191</v>
      </c>
      <c r="E15" s="21"/>
      <c r="F15" s="23">
        <f>COUNTIF(Lists!$X$3:$X$61,$C15)</f>
        <v>3</v>
      </c>
      <c r="G15" s="23">
        <f>COUNTIFS(Lists!$X$3:$X$61,$C15,Lists!$Y$3:$Y$61,"To Do")+COUNTIFS(Lists!$X$3:$X$61,$C15,Lists!$Y$3:$Y$61,"Not on board")</f>
        <v>1</v>
      </c>
      <c r="H15" s="23">
        <f>COUNTIFS(Lists!$X$3:$X$61,$C15,Lists!$Y$3:$Y$61,"In progress")</f>
        <v>0</v>
      </c>
      <c r="I15" s="23">
        <f>COUNTIFS(Lists!$X$3:$X$61,$C15,Lists!$Y$3:$Y$61,"Done")</f>
        <v>2</v>
      </c>
      <c r="J15" s="18">
        <f t="array" ref="J15">SUMPRODUCT((Lists!$X$3:$X$61=$C15)*COUNTIF('Contribution Log'!$K$2:$K$596,Lists!$K$3:$K$61))</f>
        <v>3</v>
      </c>
    </row>
    <row r="16" ht="25.5" customHeight="1">
      <c r="B16" s="22" t="s">
        <v>205</v>
      </c>
      <c r="C16" s="24" t="s">
        <v>206</v>
      </c>
      <c r="D16" s="26" t="s">
        <v>207</v>
      </c>
      <c r="E16" s="21"/>
      <c r="F16" s="23">
        <f>COUNTIF(Lists!$X$3:$X$61,$C16)</f>
        <v>8</v>
      </c>
      <c r="G16" s="23">
        <f>COUNTIFS(Lists!$X$3:$X$61,$C16,Lists!$Y$3:$Y$61,"To Do")+COUNTIFS(Lists!$X$3:$X$61,$C16,Lists!$Y$3:$Y$61,"Not on board")</f>
        <v>6</v>
      </c>
      <c r="H16" s="23">
        <f>COUNTIFS(Lists!$X$3:$X$61,$C16,Lists!$Y$3:$Y$61,"In progress")</f>
        <v>2</v>
      </c>
      <c r="I16" s="23">
        <f>COUNTIFS(Lists!$X$3:$X$61,$C16,Lists!$Y$3:$Y$61,"Done")</f>
        <v>0</v>
      </c>
      <c r="J16" s="18">
        <f t="array" ref="J16">SUMPRODUCT((Lists!$X$3:$X$61=$C16)*COUNTIF('Contribution Log'!$K$2:$K$596,Lists!$K$3:$K$61))</f>
        <v>2</v>
      </c>
    </row>
    <row r="17" ht="25.5" customHeight="1">
      <c r="B17" s="22" t="s">
        <v>211</v>
      </c>
      <c r="C17" s="24" t="s">
        <v>212</v>
      </c>
      <c r="D17" s="26" t="s">
        <v>213</v>
      </c>
      <c r="E17" s="21"/>
      <c r="F17" s="23">
        <f>COUNTIF(Lists!$X$3:$X$61,$C17)</f>
        <v>4</v>
      </c>
      <c r="G17" s="23">
        <f>COUNTIFS(Lists!$X$3:$X$61,$C17,Lists!$Y$3:$Y$61,"To Do")+COUNTIFS(Lists!$X$3:$X$61,$C17,Lists!$Y$3:$Y$61,"Not on board")</f>
        <v>3</v>
      </c>
      <c r="H17" s="23">
        <f>COUNTIFS(Lists!$X$3:$X$61,$C17,Lists!$Y$3:$Y$61,"In progress")</f>
        <v>0</v>
      </c>
      <c r="I17" s="23">
        <f>COUNTIFS(Lists!$X$3:$X$61,$C17,Lists!$Y$3:$Y$61,"Done")</f>
        <v>1</v>
      </c>
      <c r="J17" s="18">
        <f t="array" ref="J17">SUMPRODUCT((Lists!$X$3:$X$61=$C17)*COUNTIF('Contribution Log'!$K$2:$K$596,Lists!$K$3:$K$61))</f>
        <v>1</v>
      </c>
    </row>
    <row r="18" ht="25.5" customHeight="1">
      <c r="B18" s="22" t="s">
        <v>225</v>
      </c>
      <c r="C18" s="24" t="s">
        <v>226</v>
      </c>
      <c r="D18" s="26" t="s">
        <v>227</v>
      </c>
      <c r="E18" s="21"/>
      <c r="F18" s="23">
        <f>COUNTIF(Lists!$X$3:$X$61,$C18)</f>
        <v>5</v>
      </c>
      <c r="G18" s="23">
        <f>COUNTIFS(Lists!$X$3:$X$61,$C18,Lists!$Y$3:$Y$61,"To Do")+COUNTIFS(Lists!$X$3:$X$61,$C18,Lists!$Y$3:$Y$61,"Not on board")</f>
        <v>4</v>
      </c>
      <c r="H18" s="23">
        <f>COUNTIFS(Lists!$X$3:$X$61,$C18,Lists!$Y$3:$Y$61,"In progress")</f>
        <v>0</v>
      </c>
      <c r="I18" s="23">
        <f>COUNTIFS(Lists!$X$3:$X$61,$C18,Lists!$Y$3:$Y$61,"Done")</f>
        <v>1</v>
      </c>
      <c r="J18" s="18">
        <f t="array" ref="J18">SUMPRODUCT((Lists!$X$3:$X$61=$C18)*COUNTIF('Contribution Log'!$K$2:$K$596,Lists!$K$3:$K$61))</f>
        <v>0</v>
      </c>
    </row>
    <row r="19" ht="13.5" customHeight="1">
      <c r="B19" s="22" t="s">
        <v>102</v>
      </c>
      <c r="C19" s="24" t="s">
        <v>232</v>
      </c>
      <c r="D19" s="26" t="s">
        <v>233</v>
      </c>
      <c r="E19" s="21"/>
      <c r="F19" s="23">
        <f>COUNTIF(Lists!$X$3:$X$61,$C19)</f>
        <v>20</v>
      </c>
      <c r="G19" s="23">
        <f>COUNTIFS(Lists!$X$3:$X$61,$C19,Lists!$Y$3:$Y$61,"To Do")+COUNTIFS(Lists!$X$3:$X$61,$C19,Lists!$Y$3:$Y$61,"Not on board")</f>
        <v>10</v>
      </c>
      <c r="H19" s="23">
        <f>COUNTIFS(Lists!$X$3:$X$61,$C19,Lists!$Y$3:$Y$61,"In progress")</f>
        <v>0</v>
      </c>
      <c r="I19" s="23">
        <f>COUNTIFS(Lists!$X$3:$X$61,$C19,Lists!$Y$3:$Y$61,"Done")</f>
        <v>4</v>
      </c>
      <c r="J19" s="18">
        <f t="array" ref="J19">SUMPRODUCT((Lists!$X$3:$X$61=$C19)*COUNTIF('Contribution Log'!$K$2:$K$596,Lists!$K$3:$K$61))</f>
        <v>5</v>
      </c>
    </row>
    <row r="20" ht="13.5" customHeight="1"/>
    <row r="21" ht="13.5" customHeight="1">
      <c r="B21" s="16" t="s">
        <v>250</v>
      </c>
      <c r="H21" s="17" t="s">
        <v>251</v>
      </c>
      <c r="I21" s="16" t="s">
        <v>252</v>
      </c>
    </row>
    <row r="22" ht="13.5" customHeight="1">
      <c r="B22" s="4" t="s">
        <v>253</v>
      </c>
      <c r="C22" s="4" t="s">
        <v>64</v>
      </c>
      <c r="D22" s="4" t="s">
        <v>68</v>
      </c>
      <c r="E22" s="4" t="s">
        <v>67</v>
      </c>
      <c r="F22" s="4" t="s">
        <v>254</v>
      </c>
      <c r="G22" s="4" t="s">
        <v>256</v>
      </c>
      <c r="I22" s="4" t="s">
        <v>23</v>
      </c>
      <c r="J22" s="4" t="s">
        <v>64</v>
      </c>
      <c r="K22" s="4" t="s">
        <v>68</v>
      </c>
    </row>
    <row r="23" ht="13.5" customHeight="1">
      <c r="B23" s="39" t="s">
        <v>258</v>
      </c>
      <c r="C23" s="23">
        <f>COUNTIF(Lists!$M$3:$M$61,"P0")</f>
        <v>35</v>
      </c>
      <c r="D23" s="23">
        <f>COUNTIFS(Lists!$M$3:$M$61,"P0",Lists!$Y$3:$Y$61,"Done")</f>
        <v>10</v>
      </c>
      <c r="E23" s="23">
        <f>COUNTIFS(Lists!$M$3:$M$61,"P0",Lists!$Y$3:$Y$61,"In progress")</f>
        <v>5</v>
      </c>
      <c r="F23" s="23">
        <f>COUNTIF(Lists!$M$3:$M$61,"P0")-COUNTIFS(Lists!$M$3:$M$61,"P0",Lists!$Y$3:$Y$61,"Not on board")-COUNTIFS(Lists!$M$3:$M$61,"P0",Lists!$Y$3:$Y$61,"Dropped")</f>
        <v>32</v>
      </c>
      <c r="G23" s="51">
        <f t="shared" ref="G23:G26" si="1">IFERROR(D23/C23,"")</f>
        <v>0.2857142857</v>
      </c>
      <c r="I23" s="41" t="s">
        <v>265</v>
      </c>
      <c r="J23" s="23">
        <f>COUNTIF(Lists!$L$3:$L$61,"A")</f>
        <v>5</v>
      </c>
      <c r="K23" s="23">
        <f>COUNTIFS(Lists!$L$3:$L$61,"A",Lists!$Y$3:$Y$61,"Done")</f>
        <v>3</v>
      </c>
    </row>
    <row r="24" ht="13.5" customHeight="1">
      <c r="B24" s="39" t="s">
        <v>267</v>
      </c>
      <c r="C24" s="23">
        <f>COUNTIF(Lists!$M$3:$M$61,"P1")</f>
        <v>20</v>
      </c>
      <c r="D24" s="23">
        <f>COUNTIFS(Lists!$M$3:$M$61,"P1",Lists!$Y$3:$Y$61,"Done")</f>
        <v>4</v>
      </c>
      <c r="E24" s="23">
        <f>COUNTIFS(Lists!$M$3:$M$61,"P1",Lists!$Y$3:$Y$61,"In progress")</f>
        <v>1</v>
      </c>
      <c r="F24" s="23">
        <f>COUNTIF(Lists!$M$3:$M$61,"P1")-COUNTIFS(Lists!$M$3:$M$61,"P1",Lists!$Y$3:$Y$61,"Not on board")-COUNTIFS(Lists!$M$3:$M$61,"P1",Lists!$Y$3:$Y$61,"Dropped")</f>
        <v>17</v>
      </c>
      <c r="G24" s="51">
        <f t="shared" si="1"/>
        <v>0.2</v>
      </c>
      <c r="I24" s="41" t="s">
        <v>272</v>
      </c>
      <c r="J24" s="23">
        <f>COUNTIF(Lists!$L$3:$L$61,"B")</f>
        <v>6</v>
      </c>
      <c r="K24" s="23">
        <f>COUNTIFS(Lists!$L$3:$L$61,"B",Lists!$Y$3:$Y$61,"Done")</f>
        <v>2</v>
      </c>
    </row>
    <row r="25" ht="13.5" customHeight="1">
      <c r="B25" s="39" t="s">
        <v>273</v>
      </c>
      <c r="C25" s="23">
        <f>COUNTIF(Lists!$M$3:$M$61,"P2")</f>
        <v>4</v>
      </c>
      <c r="D25" s="23">
        <f>COUNTIFS(Lists!$M$3:$M$61,"P2",Lists!$Y$3:$Y$61,"Done")</f>
        <v>0</v>
      </c>
      <c r="E25" s="23">
        <f>COUNTIFS(Lists!$M$3:$M$61,"P2",Lists!$Y$3:$Y$61,"In progress")</f>
        <v>1</v>
      </c>
      <c r="F25" s="23">
        <f>COUNTIF(Lists!$M$3:$M$61,"P2")-COUNTIFS(Lists!$M$3:$M$61,"P2",Lists!$Y$3:$Y$61,"Not on board")-COUNTIFS(Lists!$M$3:$M$61,"P2",Lists!$Y$3:$Y$61,"Dropped")</f>
        <v>4</v>
      </c>
      <c r="G25" s="51">
        <f t="shared" si="1"/>
        <v>0</v>
      </c>
      <c r="I25" s="41" t="s">
        <v>276</v>
      </c>
      <c r="J25" s="23">
        <f>COUNTIF(Lists!$L$3:$L$61,"C")</f>
        <v>5</v>
      </c>
      <c r="K25" s="23">
        <f>COUNTIFS(Lists!$L$3:$L$61,"C",Lists!$Y$3:$Y$61,"Done")</f>
        <v>2</v>
      </c>
    </row>
    <row r="26" ht="13.5" customHeight="1">
      <c r="B26" s="39" t="s">
        <v>277</v>
      </c>
      <c r="C26" s="23">
        <v>59.0</v>
      </c>
      <c r="D26" s="23">
        <f>COUNTIF(Lists!$Y$3:$Y$61,"Done")</f>
        <v>14</v>
      </c>
      <c r="E26" s="23">
        <f>COUNTIF(Lists!$Y$3:$Y$61,"In progress")</f>
        <v>7</v>
      </c>
      <c r="F26" s="23">
        <f>COUNTA(Lists!$K$3:$K$61)-COUNTIF(Lists!$Y$3:$Y$61,"Not on board")-COUNTIF(Lists!$Y$3:$Y$61,"Dropped")</f>
        <v>53</v>
      </c>
      <c r="G26" s="51">
        <f t="shared" si="1"/>
        <v>0.2372881356</v>
      </c>
      <c r="I26" s="41" t="s">
        <v>278</v>
      </c>
      <c r="J26" s="23">
        <f>COUNTIF(Lists!$L$3:$L$61,"D")</f>
        <v>8</v>
      </c>
      <c r="K26" s="23">
        <f>COUNTIFS(Lists!$L$3:$L$61,"D",Lists!$Y$3:$Y$61,"Done")</f>
        <v>2</v>
      </c>
    </row>
    <row r="27" ht="13.5" customHeight="1">
      <c r="I27" s="41" t="s">
        <v>279</v>
      </c>
      <c r="J27" s="23">
        <f>COUNTIF(Lists!$L$3:$L$61,"E")</f>
        <v>6</v>
      </c>
      <c r="K27" s="23">
        <f>COUNTIFS(Lists!$L$3:$L$61,"E",Lists!$Y$3:$Y$61,"Done")</f>
        <v>1</v>
      </c>
    </row>
    <row r="28" ht="13.5" customHeight="1">
      <c r="I28" s="41" t="s">
        <v>280</v>
      </c>
      <c r="J28" s="23">
        <f>COUNTIF(Lists!$L$3:$L$61,"F")</f>
        <v>5</v>
      </c>
      <c r="K28" s="23">
        <f>COUNTIFS(Lists!$L$3:$L$61,"F",Lists!$Y$3:$Y$61,"Done")</f>
        <v>0</v>
      </c>
    </row>
    <row r="29" ht="13.5" customHeight="1">
      <c r="I29" s="41" t="s">
        <v>281</v>
      </c>
      <c r="J29" s="23">
        <f>COUNTIF(Lists!$L$3:$L$61,"G")</f>
        <v>5</v>
      </c>
      <c r="K29" s="23">
        <f>COUNTIFS(Lists!$L$3:$L$61,"G",Lists!$Y$3:$Y$61,"Done")</f>
        <v>3</v>
      </c>
    </row>
    <row r="30" ht="13.5" customHeight="1">
      <c r="I30" s="41" t="s">
        <v>282</v>
      </c>
      <c r="J30" s="23">
        <f>COUNTIF(Lists!$L$3:$L$61,"H")</f>
        <v>6</v>
      </c>
      <c r="K30" s="23">
        <f>COUNTIFS(Lists!$L$3:$L$61,"H",Lists!$Y$3:$Y$61,"Done")</f>
        <v>1</v>
      </c>
    </row>
    <row r="31" ht="13.5" customHeight="1">
      <c r="I31" s="41" t="s">
        <v>283</v>
      </c>
      <c r="J31" s="23">
        <f>COUNTIF(Lists!$L$3:$L$61,"I")</f>
        <v>5</v>
      </c>
      <c r="K31" s="23">
        <f>COUNTIFS(Lists!$L$3:$L$61,"I",Lists!$Y$3:$Y$61,"Done")</f>
        <v>0</v>
      </c>
    </row>
    <row r="32" ht="13.5" customHeight="1">
      <c r="I32" s="41" t="s">
        <v>284</v>
      </c>
      <c r="J32" s="23">
        <f>COUNTIF(Lists!$L$3:$L$61,"J")</f>
        <v>4</v>
      </c>
      <c r="K32" s="23">
        <f>COUNTIFS(Lists!$L$3:$L$61,"J",Lists!$Y$3:$Y$61,"Done")</f>
        <v>0</v>
      </c>
    </row>
    <row r="33" ht="13.5" customHeight="1">
      <c r="I33" s="41" t="s">
        <v>286</v>
      </c>
      <c r="J33" s="23">
        <f>COUNTIF(Lists!$L$3:$L$61,"K")</f>
        <v>4</v>
      </c>
      <c r="K33" s="23">
        <f>COUNTIFS(Lists!$L$3:$L$61,"K",Lists!$Y$3:$Y$61,"Done")</f>
        <v>0</v>
      </c>
    </row>
    <row r="34" ht="13.5" customHeight="1"/>
    <row r="35" ht="13.5" customHeight="1">
      <c r="B35" s="16" t="s">
        <v>287</v>
      </c>
      <c r="H35" s="17" t="s">
        <v>288</v>
      </c>
    </row>
    <row r="36" ht="13.5" customHeight="1">
      <c r="B36" s="55" t="s">
        <v>289</v>
      </c>
      <c r="C36" s="56" t="s">
        <v>291</v>
      </c>
      <c r="D36" s="57"/>
      <c r="E36" s="57"/>
      <c r="F36" s="57"/>
      <c r="G36" s="57"/>
      <c r="H36" s="57"/>
      <c r="I36" s="57"/>
      <c r="J36" s="57"/>
      <c r="K36" s="21"/>
    </row>
    <row r="37" ht="13.5" customHeight="1">
      <c r="B37" s="17" t="s">
        <v>292</v>
      </c>
      <c r="C37" s="58" t="s">
        <v>293</v>
      </c>
      <c r="D37" s="59"/>
      <c r="E37" s="59"/>
      <c r="F37" s="59"/>
      <c r="G37" s="59"/>
      <c r="H37" s="59"/>
      <c r="I37" s="59"/>
      <c r="J37" s="59"/>
      <c r="K37" s="60"/>
    </row>
    <row r="38" ht="13.5" customHeight="1"/>
    <row r="39" ht="13.5" customHeight="1">
      <c r="B39" s="16" t="s">
        <v>294</v>
      </c>
      <c r="H39" s="17" t="s">
        <v>295</v>
      </c>
    </row>
    <row r="40" ht="30.0" customHeight="1">
      <c r="B40" s="4" t="s">
        <v>11</v>
      </c>
      <c r="C40" s="4" t="s">
        <v>296</v>
      </c>
      <c r="D40" s="4" t="s">
        <v>65</v>
      </c>
      <c r="E40" s="4" t="s">
        <v>67</v>
      </c>
      <c r="F40" s="4" t="s">
        <v>297</v>
      </c>
      <c r="G40" s="4" t="s">
        <v>68</v>
      </c>
      <c r="H40" s="4" t="s">
        <v>298</v>
      </c>
      <c r="I40" s="4" t="s">
        <v>299</v>
      </c>
      <c r="J40" s="4" t="s">
        <v>300</v>
      </c>
      <c r="K40" s="4" t="s">
        <v>301</v>
      </c>
    </row>
    <row r="41" ht="13.5" customHeight="1">
      <c r="B41" s="39" t="str">
        <f>Lists!$A$2</f>
        <v>Michael Max</v>
      </c>
      <c r="C41" s="61">
        <v>7</v>
      </c>
      <c r="D41" s="23">
        <v>1</v>
      </c>
      <c r="E41" s="23">
        <v>0.0</v>
      </c>
      <c r="F41" s="23">
        <v>2.0</v>
      </c>
      <c r="G41" s="23">
        <v>4.0</v>
      </c>
      <c r="H41" s="23">
        <v>2.0</v>
      </c>
      <c r="I41" s="62" t="s">
        <v>302</v>
      </c>
      <c r="J41" s="18">
        <f>COUNTIF('Contribution Log'!$C$2:$C$596,Lists!$A$2)</f>
        <v>9</v>
      </c>
      <c r="K41" s="18">
        <f>COUNTIF('Contribution Log'!$D$2:$D$596,Lists!$A$2)</f>
        <v>1</v>
      </c>
    </row>
    <row r="42" ht="13.5" customHeight="1">
      <c r="B42" s="39" t="str">
        <f>Lists!$A$3</f>
        <v>Parth</v>
      </c>
      <c r="C42" s="61">
        <v>7.0</v>
      </c>
      <c r="D42" s="23">
        <v>4.0</v>
      </c>
      <c r="E42" s="23">
        <v>0.0</v>
      </c>
      <c r="F42" s="23">
        <v>0.0</v>
      </c>
      <c r="G42" s="23">
        <v>3.0</v>
      </c>
      <c r="H42" s="23">
        <v>1.0</v>
      </c>
      <c r="I42" s="62" t="s">
        <v>303</v>
      </c>
      <c r="J42" s="18">
        <f>COUNTIF('Contribution Log'!$C$2:$C$596,Lists!$A$3)</f>
        <v>4</v>
      </c>
      <c r="K42" s="18">
        <f>COUNTIF('Contribution Log'!$D$2:$D$596,Lists!$A$3)</f>
        <v>1</v>
      </c>
    </row>
    <row r="43" ht="13.5" customHeight="1">
      <c r="B43" s="39" t="str">
        <f>Lists!$A$4</f>
        <v>Jingwei Lin</v>
      </c>
      <c r="C43" s="61">
        <v>6.0</v>
      </c>
      <c r="D43" s="23">
        <v>2.0</v>
      </c>
      <c r="E43" s="23">
        <v>0.0</v>
      </c>
      <c r="F43" s="23">
        <v>0.0</v>
      </c>
      <c r="G43" s="23">
        <v>4.0</v>
      </c>
      <c r="H43" s="23">
        <v>1.0</v>
      </c>
      <c r="I43" s="62" t="s">
        <v>304</v>
      </c>
      <c r="J43" s="18">
        <f>COUNTIF('Contribution Log'!$C$2:$C$596,Lists!$A$4)</f>
        <v>4</v>
      </c>
      <c r="K43" s="18">
        <f>COUNTIF('Contribution Log'!$D$2:$D$596,Lists!$A$4)</f>
        <v>6</v>
      </c>
    </row>
    <row r="44" ht="13.5" customHeight="1">
      <c r="B44" s="39" t="str">
        <f>Lists!$A$5</f>
        <v>Hanchen Wang</v>
      </c>
      <c r="C44" s="61">
        <v>6.0</v>
      </c>
      <c r="D44" s="23">
        <v>2.0</v>
      </c>
      <c r="E44" s="23">
        <v>0.0</v>
      </c>
      <c r="F44" s="23">
        <v>0.0</v>
      </c>
      <c r="G44" s="23">
        <v>4.0</v>
      </c>
      <c r="H44" s="23">
        <v>2.0</v>
      </c>
      <c r="I44" s="62" t="s">
        <v>308</v>
      </c>
      <c r="J44" s="18">
        <f>COUNTIF('Contribution Log'!$C$2:$C$596,Lists!$A$5)</f>
        <v>4</v>
      </c>
      <c r="K44" s="18">
        <f>COUNTIF('Contribution Log'!$D$2:$D$596,Lists!$A$5)</f>
        <v>6</v>
      </c>
    </row>
    <row r="45" ht="13.5" customHeight="1">
      <c r="B45" s="39" t="str">
        <f>Lists!$A$6</f>
        <v>Yi Geng</v>
      </c>
      <c r="C45" s="61">
        <v>4.0</v>
      </c>
      <c r="D45" s="23">
        <v>1.0</v>
      </c>
      <c r="E45" s="23">
        <v>0.0</v>
      </c>
      <c r="F45" s="23">
        <v>0.0</v>
      </c>
      <c r="G45" s="23">
        <v>3.0</v>
      </c>
      <c r="H45" s="23">
        <v>1.0</v>
      </c>
      <c r="I45" s="62" t="s">
        <v>309</v>
      </c>
      <c r="J45" s="18">
        <f>COUNTIF('Contribution Log'!$C$2:$C$596,Lists!$A$6)</f>
        <v>3</v>
      </c>
      <c r="K45" s="18">
        <f>COUNTIF('Contribution Log'!$D$2:$D$596,Lists!$A$6)</f>
        <v>6</v>
      </c>
    </row>
    <row r="46" ht="13.5" customHeight="1">
      <c r="B46" s="39" t="str">
        <f>Lists!$A$7</f>
        <v>Dishank Aswal</v>
      </c>
      <c r="C46" s="61">
        <v>4.0</v>
      </c>
      <c r="D46" s="23">
        <v>1.0</v>
      </c>
      <c r="E46" s="23">
        <v>0.0</v>
      </c>
      <c r="F46" s="23">
        <v>0.0</v>
      </c>
      <c r="G46" s="23">
        <v>3.0</v>
      </c>
      <c r="H46" s="23">
        <v>1.0</v>
      </c>
      <c r="I46" s="62" t="s">
        <v>312</v>
      </c>
      <c r="J46" s="18">
        <f>COUNTIF('Contribution Log'!$C$2:$C$596,Lists!$A$7)</f>
        <v>3</v>
      </c>
      <c r="K46" s="18">
        <f>COUNTIF('Contribution Log'!$D$2:$D$596,Lists!$A$7)</f>
        <v>4</v>
      </c>
    </row>
    <row r="47" ht="13.5" customHeight="1">
      <c r="B47" s="39" t="str">
        <f>Lists!$A$8</f>
        <v>Kanishka Kathait</v>
      </c>
      <c r="C47" s="61">
        <v>3.0</v>
      </c>
      <c r="D47" s="23">
        <v>1.0</v>
      </c>
      <c r="E47" s="23">
        <v>1.0</v>
      </c>
      <c r="F47" s="23">
        <v>0.0</v>
      </c>
      <c r="G47" s="23">
        <v>1.0</v>
      </c>
      <c r="H47" s="23">
        <v>1.0</v>
      </c>
      <c r="I47" s="62" t="s">
        <v>313</v>
      </c>
      <c r="J47" s="18">
        <f>COUNTIF('Contribution Log'!$C$2:$C$596,Lists!$A$8)</f>
        <v>1</v>
      </c>
      <c r="K47" s="18">
        <f>COUNTIF('Contribution Log'!$D$2:$D$596,Lists!$A$8)</f>
        <v>2</v>
      </c>
    </row>
    <row r="48" ht="13.5" customHeight="1">
      <c r="B48" s="39" t="str">
        <f>Lists!$A$9</f>
        <v>Tim Chung</v>
      </c>
      <c r="C48" s="61">
        <v>3.0</v>
      </c>
      <c r="D48" s="23">
        <v>1.0</v>
      </c>
      <c r="E48" s="23">
        <v>0.0</v>
      </c>
      <c r="F48" s="23">
        <v>1.0</v>
      </c>
      <c r="G48" s="23">
        <v>1.0</v>
      </c>
      <c r="H48" s="23">
        <v>2.0</v>
      </c>
      <c r="I48" s="62" t="inlineStr">
        <is>
          <t xml:space="preserve">Project setup &amp; status UI, Unallocated</t>
        </is>
      </c>
      <c r="J48" s="18">
        <f>COUNTIF('Contribution Log'!$C$2:$C$596,Lists!$A$9)</f>
        <v>2</v>
      </c>
      <c r="K48" s="18">
        <f>COUNTIF('Contribution Log'!$D$2:$D$596,Lists!$A$9)</f>
        <v>0</v>
      </c>
    </row>
    <row r="49" ht="13.5" customHeight="1">
      <c r="B49" s="39" t="s">
        <v>315</v>
      </c>
      <c r="C49" s="22">
        <v>36</v>
      </c>
      <c r="D49" s="64" t="inlineStr">
        <is>
          <t xml:space="preserve">36 of 76 issues on the board have no owner - including every issue in Evaluation Harness and Casebook.</t>
        </is>
      </c>
      <c r="E49" s="57"/>
      <c r="F49" s="57"/>
      <c r="G49" s="57"/>
      <c r="H49" s="57"/>
      <c r="I49" s="57"/>
      <c r="J49" s="57"/>
      <c r="K49" s="21"/>
    </row>
    <row r="50" ht="13.5" customHeight="1"/>
    <row r="51" ht="13.5" customHeight="1">
      <c r="B51" s="16" t="s">
        <v>317</v>
      </c>
    </row>
    <row r="52" ht="30.0" customHeight="1">
      <c r="B52" s="4" t="s">
        <v>319</v>
      </c>
      <c r="C52" s="4" t="s">
        <v>320</v>
      </c>
      <c r="D52" s="4" t="s">
        <v>321</v>
      </c>
      <c r="E52" s="4" t="s">
        <v>322</v>
      </c>
      <c r="F52" s="4" t="s">
        <v>323</v>
      </c>
      <c r="G52" s="4" t="s">
        <v>324</v>
      </c>
      <c r="H52" s="4" t="s">
        <v>325</v>
      </c>
      <c r="I52" s="4" t="s">
        <v>326</v>
      </c>
      <c r="J52" s="4" t="s">
        <v>327</v>
      </c>
      <c r="K52" s="4" t="s">
        <v>69</v>
      </c>
    </row>
    <row r="53" ht="13.5" customHeight="1">
      <c r="B53" s="61" t="s">
        <v>223</v>
      </c>
      <c r="C53" s="23" t="s">
        <v>328</v>
      </c>
      <c r="D53" s="61" t="s">
        <v>68</v>
      </c>
      <c r="E53" s="23" t="s">
        <v>81</v>
      </c>
      <c r="F53" s="23" t="s">
        <v>329</v>
      </c>
      <c r="G53" s="27" t="s">
        <v>330</v>
      </c>
      <c r="H53" s="27" t="s">
        <v>331</v>
      </c>
      <c r="I53" s="61" t="s">
        <v>83</v>
      </c>
      <c r="J53" s="66" t="s">
        <v>332</v>
      </c>
      <c r="K53" s="18">
        <f>COUNTIF('Contribution Log'!$F$2:$F$596,$B53)</f>
        <v>1</v>
      </c>
    </row>
    <row r="54" ht="13.5" customHeight="1">
      <c r="B54" s="61" t="s">
        <v>218</v>
      </c>
      <c r="C54" s="23" t="s">
        <v>328</v>
      </c>
      <c r="D54" s="61" t="s">
        <v>68</v>
      </c>
      <c r="E54" s="23" t="s">
        <v>81</v>
      </c>
      <c r="F54" s="23" t="s">
        <v>329</v>
      </c>
      <c r="G54" s="27" t="s">
        <v>330</v>
      </c>
      <c r="H54" s="27" t="s">
        <v>333</v>
      </c>
      <c r="I54" s="61" t="s">
        <v>83</v>
      </c>
      <c r="J54" s="66" t="s">
        <v>332</v>
      </c>
      <c r="K54" s="18">
        <f>COUNTIF('Contribution Log'!$F$2:$F$596,$B54)</f>
        <v>2</v>
      </c>
    </row>
    <row r="55" ht="13.5" customHeight="1">
      <c r="B55" s="61" t="s">
        <v>274</v>
      </c>
      <c r="C55" s="23" t="s">
        <v>328</v>
      </c>
      <c r="D55" s="61" t="s">
        <v>334</v>
      </c>
      <c r="E55" s="23" t="s">
        <v>81</v>
      </c>
      <c r="F55" s="23" t="s">
        <v>335</v>
      </c>
      <c r="G55" s="27" t="s">
        <v>330</v>
      </c>
      <c r="H55" s="27" t="s">
        <v>336</v>
      </c>
      <c r="I55" s="61" t="s">
        <v>83</v>
      </c>
      <c r="J55" s="66" t="s">
        <v>332</v>
      </c>
      <c r="K55" s="18">
        <f>COUNTIF('Contribution Log'!$F$2:$F$596,$B55)</f>
        <v>1</v>
      </c>
    </row>
    <row r="56" ht="13.5" customHeight="1">
      <c r="B56" s="61" t="s">
        <v>337</v>
      </c>
      <c r="C56" s="23" t="s">
        <v>328</v>
      </c>
      <c r="D56" s="61" t="s">
        <v>338</v>
      </c>
      <c r="E56" s="23" t="inlineStr">
        <is>
          <t xml:space="preserve">Michael Max</t>
        </is>
      </c>
      <c r="F56" s="23" t="inlineStr">
        <is>
          <t xml:space="preserve">Mid-semester Break</t>
        </is>
      </c>
      <c r="G56" s="27" t="s">
        <v>330</v>
      </c>
      <c r="H56" s="27" t="s">
        <v>339</v>
      </c>
      <c r="I56" s="61" t="s">
        <v>83</v>
      </c>
      <c r="J56" s="66" t="s">
        <v>332</v>
      </c>
      <c r="K56" s="18">
        <f>COUNTIF('Contribution Log'!$F$2:$F$596,$B56)</f>
      </c>
    </row>
    <row r="57" ht="13.5" customHeight="1">
      <c r="B57" s="61" t="s">
        <v>145</v>
      </c>
      <c r="C57" s="23" t="s">
        <v>328</v>
      </c>
      <c r="D57" s="61" t="s">
        <v>68</v>
      </c>
      <c r="E57" s="23" t="s">
        <v>58</v>
      </c>
      <c r="F57" s="23" t="s">
        <v>329</v>
      </c>
      <c r="G57" s="27" t="s">
        <v>340</v>
      </c>
      <c r="H57" s="27" t="s">
        <v>341</v>
      </c>
      <c r="I57" s="61" t="s">
        <v>151</v>
      </c>
      <c r="J57" s="66" t="s">
        <v>332</v>
      </c>
      <c r="K57" s="18">
        <f>COUNTIF('Contribution Log'!$F$2:$F$596,$B57)</f>
        <v>2</v>
      </c>
    </row>
    <row r="58" ht="13.5" customHeight="1">
      <c r="B58" s="61" t="s">
        <v>343</v>
      </c>
      <c r="C58" s="23" t="s">
        <v>328</v>
      </c>
      <c r="D58" s="61" t="s">
        <v>68</v>
      </c>
      <c r="E58" s="23" t="s">
        <v>81</v>
      </c>
      <c r="F58" s="23" t="s">
        <v>344</v>
      </c>
      <c r="G58" s="27" t="s">
        <v>340</v>
      </c>
      <c r="H58" s="27" t="s">
        <v>345</v>
      </c>
      <c r="I58" s="61" t="s">
        <v>89</v>
      </c>
      <c r="J58" s="66" t="s">
        <v>332</v>
      </c>
      <c r="K58" s="18">
        <f>COUNTIF('Contribution Log'!$F$2:$F$596,$B58)</f>
        <v>0</v>
      </c>
    </row>
    <row r="59" ht="13.5" customHeight="1">
      <c r="B59" s="61" t="s">
        <v>194</v>
      </c>
      <c r="C59" s="23" t="s">
        <v>328</v>
      </c>
      <c r="D59" s="61" t="s">
        <v>68</v>
      </c>
      <c r="E59" s="23" t="s">
        <v>193</v>
      </c>
      <c r="F59" s="23" t="s">
        <v>329</v>
      </c>
      <c r="G59" s="27" t="s">
        <v>346</v>
      </c>
      <c r="H59" s="27" t="s">
        <v>347</v>
      </c>
      <c r="I59" s="61" t="s">
        <v>196</v>
      </c>
      <c r="J59" s="66" t="s">
        <v>332</v>
      </c>
      <c r="K59" s="18">
        <f>COUNTIF('Contribution Log'!$F$2:$F$596,$B59)</f>
        <v>1</v>
      </c>
    </row>
    <row r="60" ht="13.5" customHeight="1">
      <c r="B60" s="61" t="s">
        <v>245</v>
      </c>
      <c r="C60" s="23" t="s">
        <v>328</v>
      </c>
      <c r="D60" s="61" t="s">
        <v>68</v>
      </c>
      <c r="E60" s="23" t="s">
        <v>111</v>
      </c>
      <c r="F60" s="23" t="s">
        <v>329</v>
      </c>
      <c r="G60" s="27" t="s">
        <v>348</v>
      </c>
      <c r="H60" s="27" t="s">
        <v>349</v>
      </c>
      <c r="I60" s="61" t="s">
        <v>247</v>
      </c>
      <c r="J60" s="66" t="s">
        <v>332</v>
      </c>
      <c r="K60" s="18">
        <f>COUNTIF('Contribution Log'!$F$2:$F$596,$B60)</f>
        <v>2</v>
      </c>
    </row>
    <row r="61" ht="13.5" customHeight="1">
      <c r="B61" s="61" t="s">
        <v>186</v>
      </c>
      <c r="C61" s="23" t="s">
        <v>328</v>
      </c>
      <c r="D61" s="61" t="s">
        <v>68</v>
      </c>
      <c r="E61" s="23" t="s">
        <v>111</v>
      </c>
      <c r="F61" s="23" t="s">
        <v>344</v>
      </c>
      <c r="G61" s="27" t="s">
        <v>348</v>
      </c>
      <c r="H61" s="27" t="s">
        <v>350</v>
      </c>
      <c r="I61" s="61" t="s">
        <v>188</v>
      </c>
      <c r="J61" s="66" t="s">
        <v>332</v>
      </c>
      <c r="K61" s="18">
        <f>COUNTIF('Contribution Log'!$F$2:$F$596,$B61)</f>
        <v>1</v>
      </c>
    </row>
    <row r="62" ht="13.5" customHeight="1">
      <c r="B62" s="61" t="s">
        <v>152</v>
      </c>
      <c r="C62" s="23" t="s">
        <v>328</v>
      </c>
      <c r="D62" s="61" t="s">
        <v>68</v>
      </c>
      <c r="E62" s="23" t="s">
        <v>87</v>
      </c>
      <c r="F62" s="23" t="s">
        <v>344</v>
      </c>
      <c r="G62" s="27" t="s">
        <v>348</v>
      </c>
      <c r="H62" s="27" t="s">
        <v>351</v>
      </c>
      <c r="I62" s="61" t="s">
        <v>154</v>
      </c>
      <c r="J62" s="66" t="s">
        <v>332</v>
      </c>
      <c r="K62" s="18">
        <f>COUNTIF('Contribution Log'!$F$2:$F$596,$B62)</f>
        <v>1</v>
      </c>
    </row>
    <row r="63" ht="13.5" customHeight="1">
      <c r="B63" s="61" t="s">
        <v>158</v>
      </c>
      <c r="C63" s="23" t="s">
        <v>328</v>
      </c>
      <c r="D63" s="61" t="s">
        <v>68</v>
      </c>
      <c r="E63" s="23" t="s">
        <v>87</v>
      </c>
      <c r="F63" s="23" t="s">
        <v>344</v>
      </c>
      <c r="G63" s="27" t="s">
        <v>348</v>
      </c>
      <c r="H63" s="27" t="s">
        <v>352</v>
      </c>
      <c r="I63" s="61" t="s">
        <v>159</v>
      </c>
      <c r="J63" s="66" t="s">
        <v>332</v>
      </c>
      <c r="K63" s="18">
        <f>COUNTIF('Contribution Log'!$F$2:$F$596,$B63)</f>
        <v>1</v>
      </c>
    </row>
    <row r="64" ht="13.5" customHeight="1">
      <c r="B64" s="61" t="s">
        <v>354</v>
      </c>
      <c r="C64" s="23" t="s">
        <v>328</v>
      </c>
      <c r="D64" s="61" t="s">
        <v>338</v>
      </c>
      <c r="E64" s="23" t="s">
        <v>87</v>
      </c>
      <c r="F64" s="23" t="s">
        <v>335</v>
      </c>
      <c r="G64" s="27" t="s">
        <v>348</v>
      </c>
      <c r="H64" s="27" t="s">
        <v>355</v>
      </c>
      <c r="I64" s="61" t="s">
        <v>356</v>
      </c>
      <c r="J64" s="66" t="s">
        <v>332</v>
      </c>
      <c r="K64" s="18">
        <f>COUNTIF('Contribution Log'!$F$2:$F$596,$B64)</f>
        <v>0</v>
      </c>
    </row>
    <row r="65" ht="13.5" customHeight="1">
      <c r="B65" s="61" t="s">
        <v>182</v>
      </c>
      <c r="C65" s="23" t="s">
        <v>328</v>
      </c>
      <c r="D65" s="61" t="s">
        <v>68</v>
      </c>
      <c r="E65" s="23" t="s">
        <v>80</v>
      </c>
      <c r="F65" s="23" t="s">
        <v>344</v>
      </c>
      <c r="G65" s="27" t="s">
        <v>340</v>
      </c>
      <c r="H65" s="27" t="s">
        <v>357</v>
      </c>
      <c r="I65" s="61" t="s">
        <v>184</v>
      </c>
      <c r="J65" s="66" t="s">
        <v>332</v>
      </c>
      <c r="K65" s="18">
        <f>COUNTIF('Contribution Log'!$F$2:$F$596,$B65)</f>
        <v>1</v>
      </c>
    </row>
    <row r="66" ht="13.5" customHeight="1">
      <c r="B66" s="61" t="s">
        <v>235</v>
      </c>
      <c r="C66" s="23" t="s">
        <v>328</v>
      </c>
      <c r="D66" s="61" t="s">
        <v>68</v>
      </c>
      <c r="E66" s="23" t="s">
        <v>80</v>
      </c>
      <c r="F66" s="23" t="s">
        <v>329</v>
      </c>
      <c r="G66" s="27" t="s">
        <v>340</v>
      </c>
      <c r="H66" s="27" t="s">
        <v>358</v>
      </c>
      <c r="I66" s="61" t="s">
        <v>216</v>
      </c>
      <c r="J66" s="66" t="s">
        <v>332</v>
      </c>
      <c r="K66" s="18">
        <f>COUNTIF('Contribution Log'!$F$2:$F$596,$B66)</f>
        <v>1</v>
      </c>
    </row>
    <row r="67" ht="13.5" customHeight="1">
      <c r="B67" s="61" t="s">
        <v>359</v>
      </c>
      <c r="C67" s="23" t="s">
        <v>328</v>
      </c>
      <c r="D67" s="61" t="s">
        <v>338</v>
      </c>
      <c r="E67" s="23" t="s">
        <v>111</v>
      </c>
      <c r="F67" s="23" t="s">
        <v>335</v>
      </c>
      <c r="G67" s="27" t="s">
        <v>360</v>
      </c>
      <c r="H67" s="27" t="s">
        <v>361</v>
      </c>
      <c r="I67" s="61" t="s">
        <v>362</v>
      </c>
      <c r="J67" s="66" t="s">
        <v>332</v>
      </c>
      <c r="K67" s="18">
        <f>COUNTIF('Contribution Log'!$F$2:$F$596,$B67)</f>
        <v>0</v>
      </c>
    </row>
    <row r="68" ht="13.5" customHeight="1">
      <c r="B68" s="61" t="s">
        <v>214</v>
      </c>
      <c r="C68" s="23" t="s">
        <v>328</v>
      </c>
      <c r="D68" s="61" t="s">
        <v>68</v>
      </c>
      <c r="E68" s="23" t="s">
        <v>80</v>
      </c>
      <c r="F68" s="23" t="s">
        <v>329</v>
      </c>
      <c r="G68" s="27" t="s">
        <v>340</v>
      </c>
      <c r="H68" s="27" t="s">
        <v>363</v>
      </c>
      <c r="I68" s="61" t="s">
        <v>216</v>
      </c>
      <c r="J68" s="66" t="s">
        <v>332</v>
      </c>
      <c r="K68" s="18">
        <f>COUNTIF('Contribution Log'!$F$2:$F$596,$B68)</f>
        <v>1</v>
      </c>
    </row>
    <row r="69" ht="13.5" customHeight="1">
      <c r="B69" s="61" t="s">
        <v>124</v>
      </c>
      <c r="C69" s="23" t="s">
        <v>328</v>
      </c>
      <c r="D69" s="61" t="s">
        <v>68</v>
      </c>
      <c r="E69" s="23" t="s">
        <v>111</v>
      </c>
      <c r="F69" s="23" t="s">
        <v>344</v>
      </c>
      <c r="G69" s="27" t="s">
        <v>360</v>
      </c>
      <c r="H69" s="27" t="s">
        <v>364</v>
      </c>
      <c r="I69" s="61" t="s">
        <v>126</v>
      </c>
      <c r="J69" s="66" t="s">
        <v>332</v>
      </c>
      <c r="K69" s="18">
        <f>COUNTIF('Contribution Log'!$F$2:$F$596,$B69)</f>
        <v>1</v>
      </c>
    </row>
    <row r="70" ht="13.5" customHeight="1">
      <c r="B70" s="61" t="s">
        <v>131</v>
      </c>
      <c r="C70" s="23" t="s">
        <v>328</v>
      </c>
      <c r="D70" s="61" t="s">
        <v>68</v>
      </c>
      <c r="E70" s="23" t="s">
        <v>81</v>
      </c>
      <c r="F70" s="23" t="s">
        <v>344</v>
      </c>
      <c r="G70" s="27" t="s">
        <v>340</v>
      </c>
      <c r="H70" s="27" t="s">
        <v>365</v>
      </c>
      <c r="I70" s="61" t="s">
        <v>89</v>
      </c>
      <c r="J70" s="66" t="s">
        <v>332</v>
      </c>
      <c r="K70" s="18">
        <f>COUNTIF('Contribution Log'!$F$2:$F$596,$B70)</f>
        <v>1</v>
      </c>
    </row>
    <row r="71" ht="13.5" customHeight="1">
      <c r="B71" s="61" t="s">
        <v>203</v>
      </c>
      <c r="C71" s="23" t="s">
        <v>328</v>
      </c>
      <c r="D71" s="61" t="s">
        <v>68</v>
      </c>
      <c r="E71" s="23" t="s">
        <v>93</v>
      </c>
      <c r="F71" s="23" t="s">
        <v>344</v>
      </c>
      <c r="G71" s="27" t="s">
        <v>360</v>
      </c>
      <c r="H71" s="27" t="s">
        <v>366</v>
      </c>
      <c r="I71" s="61" t="s">
        <v>204</v>
      </c>
      <c r="J71" s="66" t="s">
        <v>332</v>
      </c>
      <c r="K71" s="18">
        <f>COUNTIF('Contribution Log'!$F$2:$F$596,$B71)</f>
        <v>1</v>
      </c>
    </row>
    <row r="72" ht="13.5" customHeight="1">
      <c r="B72" s="61" t="s">
        <v>367</v>
      </c>
      <c r="C72" s="23" t="s">
        <v>328</v>
      </c>
      <c r="D72" s="61" t="s">
        <v>338</v>
      </c>
      <c r="E72" s="23"/>
      <c r="F72" s="23" t="s">
        <v>369</v>
      </c>
      <c r="G72" s="27" t="s">
        <v>360</v>
      </c>
      <c r="H72" s="27" t="s">
        <v>370</v>
      </c>
      <c r="I72" s="61" t="s">
        <v>371</v>
      </c>
      <c r="J72" s="66" t="s">
        <v>332</v>
      </c>
      <c r="K72" s="18">
        <f>COUNTIF('Contribution Log'!$F$2:$F$596,$B72)</f>
        <v>0</v>
      </c>
    </row>
    <row r="73" ht="13.5" customHeight="1">
      <c r="B73" s="61" t="s">
        <v>176</v>
      </c>
      <c r="C73" s="23" t="s">
        <v>328</v>
      </c>
      <c r="D73" s="61" t="s">
        <v>68</v>
      </c>
      <c r="E73" s="23" t="s">
        <v>175</v>
      </c>
      <c r="F73" s="23" t="s">
        <v>344</v>
      </c>
      <c r="G73" s="27" t="s">
        <v>348</v>
      </c>
      <c r="H73" s="27" t="s">
        <v>372</v>
      </c>
      <c r="I73" s="61" t="s">
        <v>159</v>
      </c>
      <c r="J73" s="66" t="s">
        <v>332</v>
      </c>
      <c r="K73" s="18">
        <f>COUNTIF('Contribution Log'!$F$2:$F$596,$B73)</f>
        <v>1</v>
      </c>
    </row>
    <row r="74" ht="13.5" customHeight="1">
      <c r="B74" s="61" t="s">
        <v>199</v>
      </c>
      <c r="C74" s="23" t="s">
        <v>328</v>
      </c>
      <c r="D74" s="61" t="s">
        <v>68</v>
      </c>
      <c r="E74" s="23" t="s">
        <v>93</v>
      </c>
      <c r="F74" s="23" t="s">
        <v>344</v>
      </c>
      <c r="G74" s="27" t="s">
        <v>360</v>
      </c>
      <c r="H74" s="27" t="s">
        <v>373</v>
      </c>
      <c r="I74" s="61" t="s">
        <v>201</v>
      </c>
      <c r="J74" s="66" t="s">
        <v>332</v>
      </c>
      <c r="K74" s="18">
        <f>COUNTIF('Contribution Log'!$F$2:$F$596,$B74)</f>
        <v>1</v>
      </c>
    </row>
    <row r="75" ht="13.5" customHeight="1">
      <c r="B75" s="61" t="s">
        <v>374</v>
      </c>
      <c r="C75" s="23" t="s">
        <v>328</v>
      </c>
      <c r="D75" s="61" t="s">
        <v>338</v>
      </c>
      <c r="E75" s="23"/>
      <c r="F75" s="23"/>
      <c r="G75" s="27" t="s">
        <v>375</v>
      </c>
      <c r="H75" s="27" t="s">
        <v>376</v>
      </c>
      <c r="I75" s="61" t="s">
        <v>377</v>
      </c>
      <c r="J75" s="66" t="s">
        <v>332</v>
      </c>
      <c r="K75" s="18">
        <f>COUNTIF('Contribution Log'!$F$2:$F$596,$B75)</f>
        <v>0</v>
      </c>
    </row>
    <row r="76" ht="13.5" customHeight="1">
      <c r="B76" s="61" t="s">
        <v>378</v>
      </c>
      <c r="C76" s="23" t="s">
        <v>328</v>
      </c>
      <c r="D76" s="61" t="s">
        <v>338</v>
      </c>
      <c r="E76" s="23"/>
      <c r="F76" s="23"/>
      <c r="G76" s="27" t="s">
        <v>375</v>
      </c>
      <c r="H76" s="27" t="s">
        <v>379</v>
      </c>
      <c r="I76" s="61" t="s">
        <v>380</v>
      </c>
      <c r="J76" s="66" t="s">
        <v>332</v>
      </c>
      <c r="K76" s="18">
        <f>COUNTIF('Contribution Log'!$F$2:$F$596,$B76)</f>
        <v>0</v>
      </c>
    </row>
    <row r="77" ht="13.5" customHeight="1">
      <c r="B77" s="61" t="s">
        <v>381</v>
      </c>
      <c r="C77" s="23" t="s">
        <v>328</v>
      </c>
      <c r="D77" s="61" t="s">
        <v>338</v>
      </c>
      <c r="E77" s="23"/>
      <c r="F77" s="23"/>
      <c r="G77" s="27" t="s">
        <v>375</v>
      </c>
      <c r="H77" s="27" t="s">
        <v>382</v>
      </c>
      <c r="I77" s="61" t="s">
        <v>383</v>
      </c>
      <c r="J77" s="66" t="s">
        <v>332</v>
      </c>
      <c r="K77" s="18">
        <f>COUNTIF('Contribution Log'!$F$2:$F$596,$B77)</f>
        <v>0</v>
      </c>
    </row>
    <row r="78" ht="13.5" customHeight="1">
      <c r="B78" s="61" t="s">
        <v>384</v>
      </c>
      <c r="C78" s="23" t="s">
        <v>328</v>
      </c>
      <c r="D78" s="61" t="s">
        <v>338</v>
      </c>
      <c r="E78" s="23"/>
      <c r="F78" s="23"/>
      <c r="G78" s="27" t="s">
        <v>375</v>
      </c>
      <c r="H78" s="27" t="s">
        <v>385</v>
      </c>
      <c r="I78" s="61" t="s">
        <v>383</v>
      </c>
      <c r="J78" s="66" t="s">
        <v>332</v>
      </c>
      <c r="K78" s="18">
        <f>COUNTIF('Contribution Log'!$F$2:$F$596,$B78)</f>
        <v>0</v>
      </c>
    </row>
    <row r="79" ht="13.5" customHeight="1">
      <c r="B79" s="61" t="s">
        <v>255</v>
      </c>
      <c r="C79" s="23" t="s">
        <v>328</v>
      </c>
      <c r="D79" s="61" t="s">
        <v>68</v>
      </c>
      <c r="E79" s="23" t="s">
        <v>87</v>
      </c>
      <c r="F79" s="23" t="s">
        <v>329</v>
      </c>
      <c r="G79" s="27" t="s">
        <v>387</v>
      </c>
      <c r="H79" s="27" t="s">
        <v>388</v>
      </c>
      <c r="I79" s="61" t="s">
        <v>389</v>
      </c>
      <c r="J79" s="66" t="s">
        <v>332</v>
      </c>
      <c r="K79" s="18">
        <f>COUNTIF('Contribution Log'!$F$2:$F$596,$B79)</f>
        <v>1</v>
      </c>
    </row>
    <row r="80" ht="13.5" customHeight="1">
      <c r="B80" s="61" t="s">
        <v>119</v>
      </c>
      <c r="C80" s="23" t="s">
        <v>328</v>
      </c>
      <c r="D80" s="61" t="s">
        <v>68</v>
      </c>
      <c r="E80" s="23" t="s">
        <v>111</v>
      </c>
      <c r="F80" s="23" t="s">
        <v>344</v>
      </c>
      <c r="G80" s="27" t="s">
        <v>346</v>
      </c>
      <c r="H80" s="27" t="s">
        <v>390</v>
      </c>
      <c r="I80" s="61" t="s">
        <v>122</v>
      </c>
      <c r="J80" s="66" t="s">
        <v>391</v>
      </c>
      <c r="K80" s="18">
        <f>COUNTIF('Contribution Log'!$F$2:$F$596,$B80)</f>
        <v>1</v>
      </c>
    </row>
    <row r="81" ht="13.5" customHeight="1">
      <c r="B81" s="61" t="s">
        <v>392</v>
      </c>
      <c r="C81" s="23" t="s">
        <v>328</v>
      </c>
      <c r="D81" s="61" t="s">
        <v>338</v>
      </c>
      <c r="E81" s="23"/>
      <c r="F81" s="23"/>
      <c r="G81" s="27" t="s">
        <v>348</v>
      </c>
      <c r="H81" s="27" t="s">
        <v>393</v>
      </c>
      <c r="I81" s="61" t="s">
        <v>394</v>
      </c>
      <c r="J81" s="66" t="s">
        <v>332</v>
      </c>
      <c r="K81" s="18">
        <f>COUNTIF('Contribution Log'!$F$2:$F$596,$B81)</f>
        <v>0</v>
      </c>
    </row>
    <row r="82" ht="13.5" customHeight="1">
      <c r="B82" s="61" t="s">
        <v>270</v>
      </c>
      <c r="C82" s="23" t="s">
        <v>328</v>
      </c>
      <c r="D82" s="61" t="s">
        <v>334</v>
      </c>
      <c r="E82" s="23" t="s">
        <v>81</v>
      </c>
      <c r="F82" s="23" t="s">
        <v>335</v>
      </c>
      <c r="G82" s="27" t="s">
        <v>330</v>
      </c>
      <c r="H82" s="27" t="s">
        <v>395</v>
      </c>
      <c r="I82" s="61" t="s">
        <v>83</v>
      </c>
      <c r="J82" s="66" t="s">
        <v>332</v>
      </c>
      <c r="K82" s="18">
        <f>COUNTIF('Contribution Log'!$F$2:$F$596,$B82)</f>
        <v>1</v>
      </c>
    </row>
    <row r="83" ht="13.5" customHeight="1">
      <c r="B83" s="61" t="s">
        <v>396</v>
      </c>
      <c r="C83" s="23" t="s">
        <v>328</v>
      </c>
      <c r="D83" s="61" t="s">
        <v>68</v>
      </c>
      <c r="E83" s="23"/>
      <c r="F83" s="23"/>
      <c r="G83" s="27" t="s">
        <v>340</v>
      </c>
      <c r="H83" s="27" t="s">
        <v>397</v>
      </c>
      <c r="I83" s="61"/>
      <c r="J83" s="66"/>
      <c r="K83" s="18">
        <f>COUNTIF('Contribution Log'!$F$2:$F$596,$B83)</f>
        <v>0</v>
      </c>
    </row>
    <row r="84" ht="13.5" customHeight="1">
      <c r="B84" s="61" t="s">
        <v>398</v>
      </c>
      <c r="C84" s="23" t="s">
        <v>328</v>
      </c>
      <c r="D84" s="61" t="s">
        <v>399</v>
      </c>
      <c r="E84" s="23" t="s">
        <v>175</v>
      </c>
      <c r="F84" s="23" t="s">
        <v>329</v>
      </c>
      <c r="G84" s="27" t="s">
        <v>360</v>
      </c>
      <c r="H84" s="27" t="s">
        <v>400</v>
      </c>
      <c r="I84" s="61" t="s">
        <v>401</v>
      </c>
      <c r="J84" s="66" t="s">
        <v>332</v>
      </c>
      <c r="K84" s="18">
        <f>COUNTIF('Contribution Log'!$F$2:$F$596,$B84)</f>
        <v>0</v>
      </c>
    </row>
    <row r="85" ht="13.5" customHeight="1">
      <c r="B85" s="61" t="s">
        <v>402</v>
      </c>
      <c r="C85" s="23" t="s">
        <v>328</v>
      </c>
      <c r="D85" s="61" t="s">
        <v>338</v>
      </c>
      <c r="E85" s="23"/>
      <c r="F85" s="23"/>
      <c r="G85" s="27" t="s">
        <v>360</v>
      </c>
      <c r="H85" s="27" t="s">
        <v>403</v>
      </c>
      <c r="I85" s="61" t="s">
        <v>404</v>
      </c>
      <c r="J85" s="66" t="s">
        <v>332</v>
      </c>
      <c r="K85" s="18">
        <f>COUNTIF('Contribution Log'!$F$2:$F$596,$B85)</f>
        <v>0</v>
      </c>
    </row>
    <row r="86" ht="13.5" customHeight="1">
      <c r="B86" s="61" t="s">
        <v>405</v>
      </c>
      <c r="C86" s="23" t="s">
        <v>328</v>
      </c>
      <c r="D86" s="61" t="s">
        <v>338</v>
      </c>
      <c r="E86" s="23" t="s">
        <v>111</v>
      </c>
      <c r="F86" s="23" t="s">
        <v>335</v>
      </c>
      <c r="G86" s="27" t="s">
        <v>348</v>
      </c>
      <c r="H86" s="27" t="s">
        <v>406</v>
      </c>
      <c r="I86" s="61" t="s">
        <v>407</v>
      </c>
      <c r="J86" s="66" t="s">
        <v>332</v>
      </c>
      <c r="K86" s="18">
        <f>COUNTIF('Contribution Log'!$F$2:$F$596,$B86)</f>
        <v>0</v>
      </c>
    </row>
    <row r="87" ht="13.5" customHeight="1">
      <c r="B87" s="61" t="s">
        <v>408</v>
      </c>
      <c r="C87" s="23" t="s">
        <v>328</v>
      </c>
      <c r="D87" s="61" t="s">
        <v>338</v>
      </c>
      <c r="E87" s="23" t="s">
        <v>93</v>
      </c>
      <c r="F87" s="23" t="s">
        <v>335</v>
      </c>
      <c r="G87" s="27" t="s">
        <v>360</v>
      </c>
      <c r="H87" s="27" t="s">
        <v>409</v>
      </c>
      <c r="I87" s="61" t="s">
        <v>410</v>
      </c>
      <c r="J87" s="66" t="s">
        <v>332</v>
      </c>
      <c r="K87" s="18">
        <f>COUNTIF('Contribution Log'!$F$2:$F$596,$B87)</f>
        <v>0</v>
      </c>
    </row>
    <row r="88" ht="13.5" customHeight="1">
      <c r="B88" s="61" t="s">
        <v>411</v>
      </c>
      <c r="C88" s="23" t="s">
        <v>328</v>
      </c>
      <c r="D88" s="61" t="s">
        <v>338</v>
      </c>
      <c r="E88" s="23" t="s">
        <v>93</v>
      </c>
      <c r="F88" s="23" t="s">
        <v>369</v>
      </c>
      <c r="G88" s="27" t="s">
        <v>360</v>
      </c>
      <c r="H88" s="27" t="s">
        <v>412</v>
      </c>
      <c r="I88" s="61" t="s">
        <v>413</v>
      </c>
      <c r="J88" s="66" t="s">
        <v>332</v>
      </c>
      <c r="K88" s="18">
        <f>COUNTIF('Contribution Log'!$F$2:$F$596,$B88)</f>
        <v>0</v>
      </c>
    </row>
    <row r="89" ht="13.5" customHeight="1">
      <c r="B89" s="61" t="s">
        <v>414</v>
      </c>
      <c r="C89" s="23" t="s">
        <v>328</v>
      </c>
      <c r="D89" s="61" t="s">
        <v>338</v>
      </c>
      <c r="E89" s="23"/>
      <c r="F89" s="23"/>
      <c r="G89" s="27" t="s">
        <v>375</v>
      </c>
      <c r="H89" s="27" t="s">
        <v>415</v>
      </c>
      <c r="I89" s="61" t="s">
        <v>416</v>
      </c>
      <c r="J89" s="66" t="s">
        <v>332</v>
      </c>
      <c r="K89" s="18">
        <f>COUNTIF('Contribution Log'!$F$2:$F$596,$B89)</f>
        <v>0</v>
      </c>
    </row>
    <row r="90" ht="13.5" customHeight="1">
      <c r="B90" s="61" t="s">
        <v>417</v>
      </c>
      <c r="C90" s="23" t="s">
        <v>418</v>
      </c>
      <c r="D90" s="61" t="s">
        <v>68</v>
      </c>
      <c r="E90" s="23"/>
      <c r="F90" s="23" t="s">
        <v>329</v>
      </c>
      <c r="G90" s="27" t="s">
        <v>340</v>
      </c>
      <c r="H90" s="27" t="s">
        <v>419</v>
      </c>
      <c r="I90" s="61" t="s">
        <v>151</v>
      </c>
      <c r="J90" s="66" t="s">
        <v>420</v>
      </c>
      <c r="K90" s="18">
        <f>COUNTIF('Contribution Log'!$F$2:$F$596,$B90)</f>
        <v>0</v>
      </c>
    </row>
    <row r="91" ht="13.5" customHeight="1">
      <c r="B91" s="61" t="s">
        <v>421</v>
      </c>
      <c r="C91" s="23" t="s">
        <v>418</v>
      </c>
      <c r="D91" s="61" t="s">
        <v>68</v>
      </c>
      <c r="E91" s="23"/>
      <c r="F91" s="23" t="s">
        <v>329</v>
      </c>
      <c r="G91" s="27" t="s">
        <v>340</v>
      </c>
      <c r="H91" s="27" t="s">
        <v>422</v>
      </c>
      <c r="I91" s="61" t="s">
        <v>151</v>
      </c>
      <c r="J91" s="66" t="s">
        <v>420</v>
      </c>
      <c r="K91" s="18">
        <f>COUNTIF('Contribution Log'!$F$2:$F$596,$B91)</f>
        <v>0</v>
      </c>
    </row>
    <row r="92" ht="13.5" customHeight="1">
      <c r="B92" s="61" t="s">
        <v>423</v>
      </c>
      <c r="C92" s="23" t="s">
        <v>418</v>
      </c>
      <c r="D92" s="61" t="s">
        <v>68</v>
      </c>
      <c r="E92" s="23"/>
      <c r="F92" s="23" t="s">
        <v>329</v>
      </c>
      <c r="G92" s="27" t="s">
        <v>340</v>
      </c>
      <c r="H92" s="27" t="s">
        <v>424</v>
      </c>
      <c r="I92" s="61" t="s">
        <v>151</v>
      </c>
      <c r="J92" s="66" t="s">
        <v>420</v>
      </c>
      <c r="K92" s="18">
        <f>COUNTIF('Contribution Log'!$F$2:$F$596,$B92)</f>
        <v>0</v>
      </c>
    </row>
    <row r="93" ht="13.5" customHeight="1">
      <c r="B93" s="61" t="s">
        <v>425</v>
      </c>
      <c r="C93" s="23" t="s">
        <v>328</v>
      </c>
      <c r="D93" s="61" t="s">
        <v>338</v>
      </c>
      <c r="E93" s="23"/>
      <c r="F93" s="23" t="s">
        <v>426</v>
      </c>
      <c r="G93" s="27" t="s">
        <v>427</v>
      </c>
      <c r="H93" s="27" t="s">
        <v>428</v>
      </c>
      <c r="I93" s="61" t="s">
        <v>429</v>
      </c>
      <c r="J93" s="66" t="s">
        <v>332</v>
      </c>
      <c r="K93" s="18">
        <f>COUNTIF('Contribution Log'!$F$2:$F$596,$B93)</f>
        <v>0</v>
      </c>
    </row>
    <row r="94" ht="13.5" customHeight="1">
      <c r="B94" s="61" t="s">
        <v>430</v>
      </c>
      <c r="C94" s="23" t="s">
        <v>328</v>
      </c>
      <c r="D94" s="61" t="s">
        <v>338</v>
      </c>
      <c r="E94" s="23"/>
      <c r="F94" s="23" t="s">
        <v>426</v>
      </c>
      <c r="G94" s="27" t="s">
        <v>427</v>
      </c>
      <c r="H94" s="27" t="s">
        <v>431</v>
      </c>
      <c r="I94" s="61" t="s">
        <v>429</v>
      </c>
      <c r="J94" s="66" t="s">
        <v>332</v>
      </c>
      <c r="K94" s="18">
        <f>COUNTIF('Contribution Log'!$F$2:$F$596,$B94)</f>
        <v>0</v>
      </c>
    </row>
    <row r="95" ht="13.5" customHeight="1">
      <c r="B95" s="61" t="s">
        <v>432</v>
      </c>
      <c r="C95" s="23" t="s">
        <v>328</v>
      </c>
      <c r="D95" s="61" t="s">
        <v>338</v>
      </c>
      <c r="E95" s="23"/>
      <c r="F95" s="23" t="s">
        <v>426</v>
      </c>
      <c r="G95" s="27" t="s">
        <v>427</v>
      </c>
      <c r="H95" s="27" t="s">
        <v>433</v>
      </c>
      <c r="I95" s="61" t="s">
        <v>434</v>
      </c>
      <c r="J95" s="66" t="s">
        <v>332</v>
      </c>
      <c r="K95" s="18">
        <f>COUNTIF('Contribution Log'!$F$2:$F$596,$B95)</f>
        <v>0</v>
      </c>
    </row>
    <row r="96" ht="13.5" customHeight="1">
      <c r="B96" s="61" t="s">
        <v>435</v>
      </c>
      <c r="C96" s="23" t="s">
        <v>328</v>
      </c>
      <c r="D96" s="61" t="s">
        <v>338</v>
      </c>
      <c r="E96" s="23"/>
      <c r="F96" s="23"/>
      <c r="G96" s="27" t="s">
        <v>427</v>
      </c>
      <c r="H96" s="27" t="s">
        <v>436</v>
      </c>
      <c r="I96" s="61" t="s">
        <v>434</v>
      </c>
      <c r="J96" s="66" t="s">
        <v>332</v>
      </c>
      <c r="K96" s="18">
        <f>COUNTIF('Contribution Log'!$F$2:$F$596,$B96)</f>
        <v>0</v>
      </c>
    </row>
    <row r="97" ht="13.5" customHeight="1">
      <c r="B97" s="61" t="s">
        <v>437</v>
      </c>
      <c r="C97" s="23" t="s">
        <v>328</v>
      </c>
      <c r="D97" s="61" t="s">
        <v>338</v>
      </c>
      <c r="E97" s="23"/>
      <c r="F97" s="23"/>
      <c r="G97" s="27" t="s">
        <v>427</v>
      </c>
      <c r="H97" s="27" t="s">
        <v>438</v>
      </c>
      <c r="I97" s="61" t="s">
        <v>439</v>
      </c>
      <c r="J97" s="66" t="s">
        <v>332</v>
      </c>
      <c r="K97" s="18">
        <f>COUNTIF('Contribution Log'!$F$2:$F$596,$B97)</f>
        <v>0</v>
      </c>
    </row>
    <row r="98" ht="13.5" customHeight="1">
      <c r="B98" s="61" t="s">
        <v>440</v>
      </c>
      <c r="C98" s="23" t="s">
        <v>328</v>
      </c>
      <c r="D98" s="61" t="s">
        <v>338</v>
      </c>
      <c r="E98" s="23"/>
      <c r="F98" s="23"/>
      <c r="G98" s="27" t="s">
        <v>427</v>
      </c>
      <c r="H98" s="27" t="s">
        <v>441</v>
      </c>
      <c r="I98" s="61" t="s">
        <v>442</v>
      </c>
      <c r="J98" s="66" t="s">
        <v>332</v>
      </c>
      <c r="K98" s="18">
        <f>COUNTIF('Contribution Log'!$F$2:$F$596,$B98)</f>
        <v>0</v>
      </c>
    </row>
    <row r="99" ht="13.5" customHeight="1">
      <c r="B99" s="61" t="s">
        <v>443</v>
      </c>
      <c r="C99" s="23" t="s">
        <v>328</v>
      </c>
      <c r="D99" s="61" t="s">
        <v>338</v>
      </c>
      <c r="E99" s="23"/>
      <c r="F99" s="23"/>
      <c r="G99" s="27" t="s">
        <v>427</v>
      </c>
      <c r="H99" s="27" t="s">
        <v>444</v>
      </c>
      <c r="I99" s="61" t="s">
        <v>445</v>
      </c>
      <c r="J99" s="66" t="s">
        <v>332</v>
      </c>
      <c r="K99" s="18">
        <f>COUNTIF('Contribution Log'!$F$2:$F$596,$B99)</f>
        <v>0</v>
      </c>
    </row>
    <row r="100" ht="13.5" customHeight="1">
      <c r="B100" s="61" t="s">
        <v>447</v>
      </c>
      <c r="C100" s="23" t="s">
        <v>328</v>
      </c>
      <c r="D100" s="61" t="s">
        <v>338</v>
      </c>
      <c r="E100" s="23"/>
      <c r="F100" s="23"/>
      <c r="G100" s="27" t="s">
        <v>427</v>
      </c>
      <c r="H100" s="27" t="s">
        <v>448</v>
      </c>
      <c r="I100" s="61" t="s">
        <v>445</v>
      </c>
      <c r="J100" s="66" t="s">
        <v>391</v>
      </c>
      <c r="K100" s="18">
        <f>COUNTIF('Contribution Log'!$F$2:$F$596,$B100)</f>
        <v>0</v>
      </c>
    </row>
    <row r="101" ht="13.5" customHeight="1">
      <c r="B101" s="61" t="s">
        <v>168</v>
      </c>
      <c r="C101" s="23" t="s">
        <v>328</v>
      </c>
      <c r="D101" s="61" t="s">
        <v>68</v>
      </c>
      <c r="E101" s="23" t="s">
        <v>58</v>
      </c>
      <c r="F101" s="23" t="s">
        <v>344</v>
      </c>
      <c r="G101" s="27" t="s">
        <v>449</v>
      </c>
      <c r="H101" s="27" t="s">
        <v>450</v>
      </c>
      <c r="I101" s="61" t="s">
        <v>172</v>
      </c>
      <c r="J101" s="66" t="s">
        <v>391</v>
      </c>
      <c r="K101" s="18">
        <f>COUNTIF('Contribution Log'!$F$2:$F$596,$B101)</f>
        <v>2</v>
      </c>
    </row>
    <row r="102" ht="13.5" customHeight="1">
      <c r="B102" s="61" t="s">
        <v>112</v>
      </c>
      <c r="C102" s="23" t="s">
        <v>328</v>
      </c>
      <c r="D102" s="61" t="s">
        <v>68</v>
      </c>
      <c r="E102" s="23" t="s">
        <v>80</v>
      </c>
      <c r="F102" s="23" t="s">
        <v>344</v>
      </c>
      <c r="G102" s="27" t="s">
        <v>449</v>
      </c>
      <c r="H102" s="27" t="s">
        <v>451</v>
      </c>
      <c r="I102" s="61" t="s">
        <v>116</v>
      </c>
      <c r="J102" s="66" t="s">
        <v>391</v>
      </c>
      <c r="K102" s="18">
        <f>COUNTIF('Contribution Log'!$F$2:$F$596,$B102)</f>
        <v>1</v>
      </c>
    </row>
    <row r="103" ht="13.5" customHeight="1">
      <c r="B103" s="61" t="s">
        <v>453</v>
      </c>
      <c r="C103" s="23" t="s">
        <v>328</v>
      </c>
      <c r="D103" s="61" t="s">
        <v>68</v>
      </c>
      <c r="E103" s="23" t="s">
        <v>58</v>
      </c>
      <c r="F103" s="23" t="s">
        <v>344</v>
      </c>
      <c r="G103" s="27" t="s">
        <v>449</v>
      </c>
      <c r="H103" s="27" t="s">
        <v>454</v>
      </c>
      <c r="I103" s="61" t="s">
        <v>455</v>
      </c>
      <c r="J103" s="66" t="s">
        <v>391</v>
      </c>
      <c r="K103" s="18">
        <f>COUNTIF('Contribution Log'!$F$2:$F$596,$B103)</f>
        <v>0</v>
      </c>
    </row>
    <row r="104" ht="13.5" customHeight="1">
      <c r="B104" s="61" t="s">
        <v>456</v>
      </c>
      <c r="C104" s="23" t="s">
        <v>328</v>
      </c>
      <c r="D104" s="61" t="s">
        <v>338</v>
      </c>
      <c r="E104" s="23"/>
      <c r="F104" s="23"/>
      <c r="G104" s="27" t="s">
        <v>348</v>
      </c>
      <c r="H104" s="27" t="s">
        <v>457</v>
      </c>
      <c r="I104" s="61" t="s">
        <v>458</v>
      </c>
      <c r="J104" s="66" t="s">
        <v>332</v>
      </c>
      <c r="K104" s="18">
        <f>COUNTIF('Contribution Log'!$F$2:$F$596,$B104)</f>
        <v>0</v>
      </c>
    </row>
    <row r="105" ht="13.5" customHeight="1">
      <c r="B105" s="61" t="s">
        <v>459</v>
      </c>
      <c r="C105" s="23" t="s">
        <v>328</v>
      </c>
      <c r="D105" s="61" t="s">
        <v>338</v>
      </c>
      <c r="E105" s="23" t="s">
        <v>93</v>
      </c>
      <c r="F105" s="23" t="s">
        <v>335</v>
      </c>
      <c r="G105" s="27" t="s">
        <v>360</v>
      </c>
      <c r="H105" s="27" t="s">
        <v>460</v>
      </c>
      <c r="I105" s="61" t="s">
        <v>461</v>
      </c>
      <c r="J105" s="66" t="s">
        <v>332</v>
      </c>
      <c r="K105" s="18">
        <f>COUNTIF('Contribution Log'!$F$2:$F$596,$B105)</f>
        <v>0</v>
      </c>
    </row>
    <row r="106" ht="13.5" customHeight="1">
      <c r="B106" s="61" t="s">
        <v>462</v>
      </c>
      <c r="C106" s="23" t="s">
        <v>328</v>
      </c>
      <c r="D106" s="61" t="s">
        <v>338</v>
      </c>
      <c r="E106" s="23"/>
      <c r="F106" s="23"/>
      <c r="G106" s="27" t="s">
        <v>340</v>
      </c>
      <c r="H106" s="27" t="s">
        <v>463</v>
      </c>
      <c r="I106" s="61" t="s">
        <v>464</v>
      </c>
      <c r="J106" s="66" t="s">
        <v>332</v>
      </c>
      <c r="K106" s="18">
        <f>COUNTIF('Contribution Log'!$F$2:$F$596,$B106)</f>
        <v>0</v>
      </c>
    </row>
    <row r="107" ht="13.5" customHeight="1">
      <c r="B107" s="61" t="s">
        <v>465</v>
      </c>
      <c r="C107" s="23" t="s">
        <v>328</v>
      </c>
      <c r="D107" s="61" t="s">
        <v>338</v>
      </c>
      <c r="E107" s="23"/>
      <c r="F107" s="23"/>
      <c r="G107" s="27" t="s">
        <v>346</v>
      </c>
      <c r="H107" s="27" t="s">
        <v>466</v>
      </c>
      <c r="I107" s="61" t="s">
        <v>467</v>
      </c>
      <c r="J107" s="66" t="s">
        <v>332</v>
      </c>
      <c r="K107" s="18">
        <f>COUNTIF('Contribution Log'!$F$2:$F$596,$B107)</f>
        <v>0</v>
      </c>
    </row>
    <row r="108" ht="13.5" customHeight="1">
      <c r="B108" s="61" t="s">
        <v>468</v>
      </c>
      <c r="C108" s="23" t="s">
        <v>328</v>
      </c>
      <c r="D108" s="61" t="s">
        <v>338</v>
      </c>
      <c r="E108" s="23" t="inlineStr">
        <is>
          <t xml:space="preserve">Tim Chung</t>
        </is>
      </c>
      <c r="F108" s="23" t="inlineStr">
        <is>
          <t xml:space="preserve">W8 Route work, record decision</t>
        </is>
      </c>
      <c r="G108" s="27" t="s">
        <v>348</v>
      </c>
      <c r="H108" s="27" t="s">
        <v>469</v>
      </c>
      <c r="I108" s="61" t="s">
        <v>470</v>
      </c>
      <c r="J108" s="66" t="s">
        <v>332</v>
      </c>
      <c r="K108" s="18">
        <f>COUNTIF('Contribution Log'!$F$2:$F$596,$B108)</f>
      </c>
    </row>
    <row r="109" ht="13.5" customHeight="1">
      <c r="B109" s="61" t="s">
        <v>471</v>
      </c>
      <c r="C109" s="23" t="s">
        <v>328</v>
      </c>
      <c r="D109" s="61" t="s">
        <v>334</v>
      </c>
      <c r="E109" s="23" t="s">
        <v>193</v>
      </c>
      <c r="F109" s="23" t="s">
        <v>329</v>
      </c>
      <c r="G109" s="27" t="s">
        <v>346</v>
      </c>
      <c r="H109" s="27" t="s">
        <v>472</v>
      </c>
      <c r="I109" s="61" t="s">
        <v>473</v>
      </c>
      <c r="J109" s="66" t="s">
        <v>332</v>
      </c>
      <c r="K109" s="18">
        <f>COUNTIF('Contribution Log'!$F$2:$F$596,$B109)</f>
        <v>0</v>
      </c>
    </row>
    <row r="110" ht="13.5" customHeight="1">
      <c r="B110" s="61" t="s">
        <v>474</v>
      </c>
      <c r="C110" s="23" t="s">
        <v>328</v>
      </c>
      <c r="D110" s="61" t="s">
        <v>338</v>
      </c>
      <c r="E110" s="23"/>
      <c r="F110" s="23"/>
      <c r="G110" s="27" t="s">
        <v>348</v>
      </c>
      <c r="H110" s="27" t="s">
        <v>475</v>
      </c>
      <c r="I110" s="61" t="s">
        <v>476</v>
      </c>
      <c r="J110" s="66" t="s">
        <v>332</v>
      </c>
      <c r="K110" s="18">
        <f>COUNTIF('Contribution Log'!$F$2:$F$596,$B110)</f>
        <v>0</v>
      </c>
    </row>
    <row r="111" ht="13.5" customHeight="1">
      <c r="B111" s="61" t="s">
        <v>477</v>
      </c>
      <c r="C111" s="23" t="s">
        <v>418</v>
      </c>
      <c r="D111" s="61" t="s">
        <v>68</v>
      </c>
      <c r="E111" s="23"/>
      <c r="F111" s="23" t="s">
        <v>329</v>
      </c>
      <c r="G111" s="27" t="s">
        <v>340</v>
      </c>
      <c r="H111" s="27" t="s">
        <v>478</v>
      </c>
      <c r="I111" s="61" t="s">
        <v>151</v>
      </c>
      <c r="J111" s="66" t="s">
        <v>420</v>
      </c>
      <c r="K111" s="18">
        <f>COUNTIF('Contribution Log'!$F$2:$F$596,$B111)</f>
        <v>0</v>
      </c>
    </row>
    <row r="112" ht="13.5" customHeight="1">
      <c r="B112" s="61" t="s">
        <v>479</v>
      </c>
      <c r="C112" s="23" t="s">
        <v>328</v>
      </c>
      <c r="D112" s="61" t="s">
        <v>338</v>
      </c>
      <c r="E112" s="23" t="s">
        <v>175</v>
      </c>
      <c r="F112" s="23" t="s">
        <v>335</v>
      </c>
      <c r="G112" s="27" t="s">
        <v>360</v>
      </c>
      <c r="H112" s="27" t="s">
        <v>480</v>
      </c>
      <c r="I112" s="61" t="s">
        <v>401</v>
      </c>
      <c r="J112" s="66" t="s">
        <v>332</v>
      </c>
      <c r="K112" s="18">
        <f>COUNTIF('Contribution Log'!$F$2:$F$596,$B112)</f>
        <v>0</v>
      </c>
    </row>
    <row r="113" ht="13.5" customHeight="1">
      <c r="B113" s="61" t="s">
        <v>239</v>
      </c>
      <c r="C113" s="23" t="s">
        <v>328</v>
      </c>
      <c r="D113" s="61" t="s">
        <v>68</v>
      </c>
      <c r="E113" s="23" t="s">
        <v>93</v>
      </c>
      <c r="F113" s="23" t="s">
        <v>329</v>
      </c>
      <c r="G113" s="27" t="s">
        <v>449</v>
      </c>
      <c r="H113" s="27" t="s">
        <v>241</v>
      </c>
      <c r="I113" s="61" t="s">
        <v>83</v>
      </c>
      <c r="J113" s="66" t="s">
        <v>332</v>
      </c>
      <c r="K113" s="18">
        <f>COUNTIF('Contribution Log'!$F$2:$F$596,$B113)</f>
        <v>1</v>
      </c>
    </row>
    <row r="114" ht="13.5" customHeight="1">
      <c r="B114" s="61" t="s">
        <v>481</v>
      </c>
      <c r="C114" s="23" t="s">
        <v>418</v>
      </c>
      <c r="D114" s="61" t="s">
        <v>68</v>
      </c>
      <c r="E114" s="23"/>
      <c r="F114" s="23" t="s">
        <v>329</v>
      </c>
      <c r="G114" s="27" t="s">
        <v>340</v>
      </c>
      <c r="H114" s="27" t="s">
        <v>482</v>
      </c>
      <c r="I114" s="61" t="s">
        <v>151</v>
      </c>
      <c r="J114" s="66" t="s">
        <v>420</v>
      </c>
      <c r="K114" s="18">
        <f>COUNTIF('Contribution Log'!$F$2:$F$596,$B114)</f>
        <v>0</v>
      </c>
    </row>
    <row r="115" ht="13.5" customHeight="1">
      <c r="B115" s="61" t="s">
        <v>483</v>
      </c>
      <c r="C115" s="23" t="s">
        <v>418</v>
      </c>
      <c r="D115" s="61" t="s">
        <v>68</v>
      </c>
      <c r="E115" s="23"/>
      <c r="F115" s="23" t="s">
        <v>329</v>
      </c>
      <c r="G115" s="27" t="s">
        <v>340</v>
      </c>
      <c r="H115" s="27" t="s">
        <v>484</v>
      </c>
      <c r="I115" s="61" t="s">
        <v>151</v>
      </c>
      <c r="J115" s="66" t="s">
        <v>420</v>
      </c>
      <c r="K115" s="18">
        <f>COUNTIF('Contribution Log'!$F$2:$F$596,$B115)</f>
        <v>0</v>
      </c>
    </row>
    <row r="116" ht="13.5" customHeight="1">
      <c r="B116" s="61" t="s">
        <v>485</v>
      </c>
      <c r="C116" s="23" t="s">
        <v>418</v>
      </c>
      <c r="D116" s="61" t="s">
        <v>68</v>
      </c>
      <c r="E116" s="23"/>
      <c r="F116" s="23" t="s">
        <v>329</v>
      </c>
      <c r="G116" s="27" t="s">
        <v>340</v>
      </c>
      <c r="H116" s="27" t="s">
        <v>487</v>
      </c>
      <c r="I116" s="61" t="s">
        <v>151</v>
      </c>
      <c r="J116" s="66" t="s">
        <v>420</v>
      </c>
      <c r="K116" s="18">
        <f>COUNTIF('Contribution Log'!$F$2:$F$596,$B116)</f>
        <v>0</v>
      </c>
    </row>
    <row r="117" ht="13.5" customHeight="1">
      <c r="B117" s="61" t="s">
        <v>488</v>
      </c>
      <c r="C117" s="23" t="s">
        <v>328</v>
      </c>
      <c r="D117" s="61" t="s">
        <v>338</v>
      </c>
      <c r="E117" s="23" t="s">
        <v>58</v>
      </c>
      <c r="F117" s="23" t="s">
        <v>335</v>
      </c>
      <c r="G117" s="27" t="s">
        <v>375</v>
      </c>
      <c r="H117" s="27" t="s">
        <v>489</v>
      </c>
      <c r="I117" s="61" t="s">
        <v>490</v>
      </c>
      <c r="J117" s="66" t="s">
        <v>332</v>
      </c>
      <c r="K117" s="18">
        <f>COUNTIF('Contribution Log'!$F$2:$F$596,$B117)</f>
        <v>0</v>
      </c>
    </row>
    <row r="118" ht="13.5" customHeight="1">
      <c r="B118" s="61" t="s">
        <v>491</v>
      </c>
      <c r="C118" s="23" t="s">
        <v>328</v>
      </c>
      <c r="D118" s="61" t="s">
        <v>338</v>
      </c>
      <c r="E118" s="23" t="s">
        <v>80</v>
      </c>
      <c r="F118" s="23" t="s">
        <v>335</v>
      </c>
      <c r="G118" s="27" t="s">
        <v>360</v>
      </c>
      <c r="H118" s="27" t="s">
        <v>492</v>
      </c>
      <c r="I118" s="61" t="s">
        <v>493</v>
      </c>
      <c r="J118" s="66" t="s">
        <v>332</v>
      </c>
      <c r="K118" s="18">
        <f>COUNTIF('Contribution Log'!$F$2:$F$596,$B118)</f>
        <v>0</v>
      </c>
    </row>
    <row r="119" ht="13.5" customHeight="1">
      <c r="B119" s="61" t="s">
        <v>494</v>
      </c>
      <c r="C119" s="23" t="s">
        <v>328</v>
      </c>
      <c r="D119" s="61" t="s">
        <v>338</v>
      </c>
      <c r="E119" s="23" t="s">
        <v>80</v>
      </c>
      <c r="F119" s="23" t="s">
        <v>335</v>
      </c>
      <c r="G119" s="27" t="s">
        <v>360</v>
      </c>
      <c r="H119" s="27" t="s">
        <v>495</v>
      </c>
      <c r="I119" s="61" t="s">
        <v>496</v>
      </c>
      <c r="J119" s="66" t="s">
        <v>332</v>
      </c>
      <c r="K119" s="18">
        <f>COUNTIF('Contribution Log'!$F$2:$F$596,$B119)</f>
        <v>0</v>
      </c>
    </row>
    <row r="120" ht="13.5" customHeight="1">
      <c r="B120" s="61" t="s">
        <v>497</v>
      </c>
      <c r="C120" s="23" t="s">
        <v>328</v>
      </c>
      <c r="D120" s="61" t="s">
        <v>338</v>
      </c>
      <c r="E120" s="23"/>
      <c r="F120" s="23" t="s">
        <v>369</v>
      </c>
      <c r="G120" s="27" t="s">
        <v>360</v>
      </c>
      <c r="H120" s="27" t="s">
        <v>498</v>
      </c>
      <c r="I120" s="61" t="s">
        <v>499</v>
      </c>
      <c r="J120" s="66" t="s">
        <v>332</v>
      </c>
      <c r="K120" s="18">
        <f>COUNTIF('Contribution Log'!$F$2:$F$596,$B120)</f>
        <v>0</v>
      </c>
    </row>
    <row r="121" ht="13.5" customHeight="1">
      <c r="B121" s="61" t="s">
        <v>500</v>
      </c>
      <c r="C121" s="23" t="s">
        <v>328</v>
      </c>
      <c r="D121" s="61" t="s">
        <v>338</v>
      </c>
      <c r="E121" s="23"/>
      <c r="F121" s="23" t="s">
        <v>369</v>
      </c>
      <c r="G121" s="27" t="s">
        <v>387</v>
      </c>
      <c r="H121" s="27" t="s">
        <v>501</v>
      </c>
      <c r="I121" s="61" t="s">
        <v>502</v>
      </c>
      <c r="J121" s="66" t="s">
        <v>332</v>
      </c>
      <c r="K121" s="18">
        <f>COUNTIF('Contribution Log'!$F$2:$F$596,$B121)</f>
        <v>0</v>
      </c>
    </row>
    <row r="122" ht="13.5" customHeight="1">
      <c r="B122" s="61" t="s">
        <v>503</v>
      </c>
      <c r="C122" s="23" t="s">
        <v>328</v>
      </c>
      <c r="D122" s="61" t="s">
        <v>338</v>
      </c>
      <c r="E122" s="23"/>
      <c r="F122" s="23" t="s">
        <v>486</v>
      </c>
      <c r="G122" s="27" t="s">
        <v>360</v>
      </c>
      <c r="H122" s="27" t="s">
        <v>504</v>
      </c>
      <c r="I122" s="61" t="s">
        <v>505</v>
      </c>
      <c r="J122" s="66" t="s">
        <v>332</v>
      </c>
      <c r="K122" s="18">
        <f>COUNTIF('Contribution Log'!$F$2:$F$596,$B122)</f>
        <v>0</v>
      </c>
    </row>
    <row r="123" ht="13.5" customHeight="1">
      <c r="B123" s="61" t="s">
        <v>506</v>
      </c>
      <c r="C123" s="23" t="s">
        <v>328</v>
      </c>
      <c r="D123" s="61" t="s">
        <v>338</v>
      </c>
      <c r="E123" s="23"/>
      <c r="F123" s="23" t="s">
        <v>486</v>
      </c>
      <c r="G123" s="27" t="s">
        <v>387</v>
      </c>
      <c r="H123" s="27" t="s">
        <v>507</v>
      </c>
      <c r="I123" s="61" t="s">
        <v>508</v>
      </c>
      <c r="J123" s="66" t="s">
        <v>332</v>
      </c>
      <c r="K123" s="18">
        <f>COUNTIF('Contribution Log'!$F$2:$F$596,$B123)</f>
        <v>0</v>
      </c>
    </row>
    <row r="124" ht="13.5" customHeight="1">
      <c r="B124" s="61" t="s">
        <v>510</v>
      </c>
      <c r="C124" s="23" t="s">
        <v>328</v>
      </c>
      <c r="D124" s="61" t="s">
        <v>338</v>
      </c>
      <c r="E124" s="23"/>
      <c r="F124" s="23" t="s">
        <v>486</v>
      </c>
      <c r="G124" s="27" t="s">
        <v>387</v>
      </c>
      <c r="H124" s="27" t="s">
        <v>511</v>
      </c>
      <c r="I124" s="61" t="s">
        <v>512</v>
      </c>
      <c r="J124" s="66" t="s">
        <v>332</v>
      </c>
      <c r="K124" s="18">
        <f>COUNTIF('Contribution Log'!$F$2:$F$596,$B124)</f>
        <v>0</v>
      </c>
    </row>
    <row r="125" ht="13.5" customHeight="1">
      <c r="B125" s="61" t="s">
        <v>513</v>
      </c>
      <c r="C125" s="23" t="s">
        <v>328</v>
      </c>
      <c r="D125" s="61" t="s">
        <v>338</v>
      </c>
      <c r="E125" s="23"/>
      <c r="F125" s="23" t="s">
        <v>509</v>
      </c>
      <c r="G125" s="27" t="s">
        <v>375</v>
      </c>
      <c r="H125" s="27" t="s">
        <v>514</v>
      </c>
      <c r="I125" s="61" t="s">
        <v>515</v>
      </c>
      <c r="J125" s="66" t="s">
        <v>332</v>
      </c>
      <c r="K125" s="18">
        <f>COUNTIF('Contribution Log'!$F$2:$F$596,$B125)</f>
        <v>0</v>
      </c>
    </row>
    <row r="126" ht="13.5" customHeight="1">
      <c r="B126" s="61" t="s">
        <v>516</v>
      </c>
      <c r="C126" s="23" t="s">
        <v>328</v>
      </c>
      <c r="D126" s="61" t="s">
        <v>338</v>
      </c>
      <c r="E126" s="23"/>
      <c r="F126" s="23" t="s">
        <v>509</v>
      </c>
      <c r="G126" s="27" t="s">
        <v>360</v>
      </c>
      <c r="H126" s="27" t="s">
        <v>517</v>
      </c>
      <c r="I126" s="61" t="s">
        <v>518</v>
      </c>
      <c r="J126" s="66" t="s">
        <v>332</v>
      </c>
      <c r="K126" s="18">
        <f>COUNTIF('Contribution Log'!$F$2:$F$596,$B126)</f>
        <v>0</v>
      </c>
    </row>
    <row r="127" ht="13.5" customHeight="1">
      <c r="B127" s="61" t="s">
        <v>519</v>
      </c>
      <c r="C127" s="23" t="s">
        <v>328</v>
      </c>
      <c r="D127" s="61" t="s">
        <v>338</v>
      </c>
      <c r="E127" s="23"/>
      <c r="F127" s="23" t="s">
        <v>509</v>
      </c>
      <c r="G127" s="27" t="s">
        <v>387</v>
      </c>
      <c r="H127" s="27" t="s">
        <v>520</v>
      </c>
      <c r="I127" s="61" t="s">
        <v>521</v>
      </c>
      <c r="J127" s="66" t="s">
        <v>332</v>
      </c>
      <c r="K127" s="18">
        <f>COUNTIF('Contribution Log'!$F$2:$F$596,$B127)</f>
        <v>0</v>
      </c>
    </row>
    <row r="128" ht="13.5" customHeight="1">
      <c r="B128" s="61" t="s">
        <v>522</v>
      </c>
      <c r="C128" s="23" t="s">
        <v>328</v>
      </c>
      <c r="D128" s="61" t="s">
        <v>338</v>
      </c>
      <c r="E128" s="23" t="s">
        <v>93</v>
      </c>
      <c r="F128" s="23" t="s">
        <v>335</v>
      </c>
      <c r="G128" s="27" t="s">
        <v>360</v>
      </c>
      <c r="H128" s="27" t="s">
        <v>523</v>
      </c>
      <c r="I128" s="61" t="s">
        <v>126</v>
      </c>
      <c r="J128" s="66" t="s">
        <v>332</v>
      </c>
      <c r="K128" s="18">
        <f>COUNTIF('Contribution Log'!$F$2:$F$596,$B128)</f>
        <v>0</v>
      </c>
    </row>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B$52:$K$128"/>
  <mergeCells count="26">
    <mergeCell ref="H6:I6"/>
    <mergeCell ref="J6:K6"/>
    <mergeCell ref="B5:C5"/>
    <mergeCell ref="D5:E5"/>
    <mergeCell ref="F5:G5"/>
    <mergeCell ref="H5:I5"/>
    <mergeCell ref="J5:K5"/>
    <mergeCell ref="L5:M5"/>
    <mergeCell ref="B6:C6"/>
    <mergeCell ref="L6:M6"/>
    <mergeCell ref="D6:E6"/>
    <mergeCell ref="F6:G6"/>
    <mergeCell ref="D9:E9"/>
    <mergeCell ref="D10:E10"/>
    <mergeCell ref="D11:E11"/>
    <mergeCell ref="D12:E12"/>
    <mergeCell ref="D13:E13"/>
    <mergeCell ref="C37:K37"/>
    <mergeCell ref="D49:K49"/>
    <mergeCell ref="D14:E14"/>
    <mergeCell ref="D15:E15"/>
    <mergeCell ref="D16:E16"/>
    <mergeCell ref="D17:E17"/>
    <mergeCell ref="D18:E18"/>
    <mergeCell ref="D19:E19"/>
    <mergeCell ref="C36:K36"/>
  </mergeCells>
  <conditionalFormatting sqref="B53:K128">
    <cfRule type="expression" dxfId="0" priority="1">
      <formula>$D53="Done"</formula>
    </cfRule>
  </conditionalFormatting>
  <conditionalFormatting sqref="B53:K128">
    <cfRule type="expression" dxfId="1" priority="2">
      <formula>$D53="In Progress"</formula>
    </cfRule>
  </conditionalFormatting>
  <conditionalFormatting sqref="B53:K128">
    <cfRule type="expression" dxfId="2" priority="3">
      <formula>$D53="In Review"</formula>
    </cfRule>
  </conditionalFormatting>
  <conditionalFormatting sqref="E41:E48">
    <cfRule type="cellIs" dxfId="1" priority="4" operator="greaterThan">
      <formula>3</formula>
    </cfRule>
  </conditionalFormatting>
  <conditionalFormatting sqref="I53:I128">
    <cfRule type="expression" dxfId="3" priority="5">
      <formula>$I53=""</formula>
    </cfRule>
  </conditionalFormatting>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2" width="34.0"/>
    <col customWidth="1" min="3" max="4" width="14.0"/>
    <col customWidth="1" min="5" max="5" width="36.0"/>
    <col customWidth="1" min="6" max="7" width="14.0"/>
  </cols>
  <sheetData>
    <row r="1" ht="13.5" customHeight="1"/>
    <row r="2" ht="30.75" customHeight="1">
      <c r="B2" s="1" t="s">
        <v>38</v>
      </c>
    </row>
    <row r="3" ht="13.5" customHeight="1">
      <c r="B3" s="3" t="s">
        <v>156</v>
      </c>
    </row>
    <row r="4" ht="13.5" customHeight="1"/>
    <row r="5" ht="13.5" customHeight="1">
      <c r="B5" s="39" t="s">
        <v>157</v>
      </c>
      <c r="C5" s="40">
        <v>46281.0</v>
      </c>
      <c r="D5" s="17" t="s">
        <v>160</v>
      </c>
    </row>
    <row r="6" ht="13.5" customHeight="1">
      <c r="B6" s="39" t="s">
        <v>161</v>
      </c>
      <c r="C6" s="40">
        <v>46288.0</v>
      </c>
    </row>
    <row r="7" ht="13.5" customHeight="1"/>
    <row r="8" ht="13.5" customHeight="1">
      <c r="B8" s="16" t="s">
        <v>162</v>
      </c>
      <c r="E8" s="16" t="s">
        <v>165</v>
      </c>
    </row>
    <row r="9" ht="13.5" customHeight="1">
      <c r="B9" s="41" t="s">
        <v>135</v>
      </c>
      <c r="C9" s="43">
        <f>COUNTIFS('Contribution Log'!$A$2:$A$596,"&gt;="&amp;$C$5,'Contribution Log'!$A$2:$A$596,"&lt;="&amp;$C$6)</f>
        <v>13</v>
      </c>
      <c r="E9" s="44" t="s">
        <v>23</v>
      </c>
      <c r="F9" s="44" t="s">
        <v>69</v>
      </c>
      <c r="G9" s="44" t="s">
        <v>170</v>
      </c>
    </row>
    <row r="10" ht="13.5" customHeight="1">
      <c r="B10" s="41" t="s">
        <v>171</v>
      </c>
      <c r="C10" s="43">
        <f t="array" ref="C10">SUMPRODUCT((COUNTIFS('Contribution Log'!$A$2:$A$596,"&gt;="&amp;$C$5,'Contribution Log'!$A$2:$A$596,"&lt;="&amp;$C$6,'Contribution Log'!$C$2:$C$596,Lists!$A$2:$A$9)&gt;0)*1)</f>
        <v>7</v>
      </c>
      <c r="E10" s="46" t="str">
        <f>"A - Trustworthy Foundations"</f>
        <v>A - Trustworthy Foundations</v>
      </c>
      <c r="F10" s="47">
        <f>COUNTIFS('Contribution Log'!$A$2:$A$596,"&gt;="&amp;$C$5,'Contribution Log'!$A$2:$A$596,"&lt;="&amp;$C$6,'Contribution Log'!$M$2:$M$596,Lists!$H$2)</f>
        <v>1</v>
      </c>
      <c r="G10" s="47">
        <f t="array" ref="G10">SUMPRODUCT((COUNTIFS('Contribution Log'!$A$2:$A$596,"&gt;="&amp;$C$5,'Contribution Log'!$A$2:$A$596,"&lt;="&amp;$C$6,'Contribution Log'!$M$2:$M$596,Lists!$H$2,'Contribution Log'!$K$2:$K$596,Lists!$K$3:$K$61,'Contribution Log'!$Q$2:$Q$596,"Yes - story complete")&gt;0)*1)</f>
        <v>0</v>
      </c>
    </row>
    <row r="11" ht="13.5" customHeight="1">
      <c r="B11" s="41" t="s">
        <v>140</v>
      </c>
      <c r="C11" s="43">
        <f t="array" ref="C11">SUMPRODUCT((COUNTIFS('Contribution Log'!$A$2:$A$596,"&gt;="&amp;$C$5,'Contribution Log'!$A$2:$A$596,"&lt;="&amp;$C$6,'Contribution Log'!$K$2:$K$596,Lists!$K$3:$K$61,'Contribution Log'!$Q$2:$Q$596,"Yes - story complete")&gt;0)*1)</f>
        <v>1</v>
      </c>
      <c r="E11" s="46" t="str">
        <f>"B - Setting Up Work"</f>
        <v>B - Setting Up Work</v>
      </c>
      <c r="F11" s="47">
        <f>COUNTIFS('Contribution Log'!$A$2:$A$596,"&gt;="&amp;$C$5,'Contribution Log'!$A$2:$A$596,"&lt;="&amp;$C$6,'Contribution Log'!$M$2:$M$596,Lists!$H$3)</f>
        <v>1</v>
      </c>
      <c r="G11" s="47">
        <f t="array" ref="G11">SUMPRODUCT((COUNTIFS('Contribution Log'!$A$2:$A$596,"&gt;="&amp;$C$5,'Contribution Log'!$A$2:$A$596,"&lt;="&amp;$C$6,'Contribution Log'!$M$2:$M$596,Lists!$H$3,'Contribution Log'!$K$2:$K$596,Lists!$K$3:$K$61,'Contribution Log'!$Q$2:$Q$596,"Yes - story complete")&gt;0)*1)</f>
        <v>1</v>
      </c>
    </row>
    <row r="12" ht="13.5" customHeight="1">
      <c r="B12" s="41" t="s">
        <v>230</v>
      </c>
      <c r="C12" s="43">
        <f>COUNTIFS('Contribution Log'!$A$2:$A$596,"&gt;="&amp;$C$5,'Contribution Log'!$A$2:$A$596,"&lt;="&amp;$C$6,'Contribution Log'!$I$2:$I$596,"Defect fix")</f>
        <v>3</v>
      </c>
      <c r="E12" s="46" t="str">
        <f>"C - AI-Assisted First Pass"</f>
        <v>C - AI-Assisted First Pass</v>
      </c>
      <c r="F12" s="47">
        <f>COUNTIFS('Contribution Log'!$A$2:$A$596,"&gt;="&amp;$C$5,'Contribution Log'!$A$2:$A$596,"&lt;="&amp;$C$6,'Contribution Log'!$M$2:$M$596,Lists!$H$4)</f>
        <v>4</v>
      </c>
      <c r="G12" s="47">
        <f t="array" ref="G12">SUMPRODUCT((COUNTIFS('Contribution Log'!$A$2:$A$596,"&gt;="&amp;$C$5,'Contribution Log'!$A$2:$A$596,"&lt;="&amp;$C$6,'Contribution Log'!$M$2:$M$596,Lists!$H$4,'Contribution Log'!$K$2:$K$596,Lists!$K$3:$K$61,'Contribution Log'!$Q$2:$Q$596,"Yes - story complete")&gt;0)*1)</f>
        <v>0</v>
      </c>
    </row>
    <row r="13" ht="13.5" customHeight="1">
      <c r="B13" s="41" t="s">
        <v>266</v>
      </c>
      <c r="C13" s="43">
        <f>COUNTIFS('Contribution Log'!$A$2:$A$596,"&gt;="&amp;$C$5,'Contribution Log'!$A$2:$A$596,"&lt;="&amp;$C$6,'Contribution Log'!$I$2:$I$596,"Feature")</f>
        <v>6</v>
      </c>
      <c r="E13" s="46" t="str">
        <f>"D - Review &amp; Cross-Validation"</f>
        <v>D - Review &amp; Cross-Validation</v>
      </c>
      <c r="F13" s="47">
        <f>COUNTIFS('Contribution Log'!$A$2:$A$596,"&gt;="&amp;$C$5,'Contribution Log'!$A$2:$A$596,"&lt;="&amp;$C$6,'Contribution Log'!$M$2:$M$596,Lists!$H$5)</f>
        <v>3</v>
      </c>
      <c r="G13" s="47">
        <f t="array" ref="G13">SUMPRODUCT((COUNTIFS('Contribution Log'!$A$2:$A$596,"&gt;="&amp;$C$5,'Contribution Log'!$A$2:$A$596,"&lt;="&amp;$C$6,'Contribution Log'!$M$2:$M$596,Lists!$H$5,'Contribution Log'!$K$2:$K$596,Lists!$K$3:$K$61,'Contribution Log'!$Q$2:$Q$596,"Yes - story complete")&gt;0)*1)</f>
        <v>0</v>
      </c>
    </row>
    <row r="14" ht="13.5" customHeight="1">
      <c r="B14" s="41" t="s">
        <v>285</v>
      </c>
      <c r="C14" s="43">
        <f>COUNTIFS('Contribution Log'!$A$2:$A$596,"&gt;="&amp;$C$5,'Contribution Log'!$A$2:$A$596,"&lt;="&amp;$C$6,'Contribution Log'!$E$2:$E$596,"OK")</f>
        <v>9</v>
      </c>
      <c r="E14" s="46" t="str">
        <f>"E - Disagreement &amp; Dispute"</f>
        <v>E - Disagreement &amp; Dispute</v>
      </c>
      <c r="F14" s="47">
        <f>COUNTIFS('Contribution Log'!$A$2:$A$596,"&gt;="&amp;$C$5,'Contribution Log'!$A$2:$A$596,"&lt;="&amp;$C$6,'Contribution Log'!$M$2:$M$596,Lists!$H$6)</f>
        <v>0</v>
      </c>
      <c r="G14" s="47">
        <f t="array" ref="G14">SUMPRODUCT((COUNTIFS('Contribution Log'!$A$2:$A$596,"&gt;="&amp;$C$5,'Contribution Log'!$A$2:$A$596,"&lt;="&amp;$C$6,'Contribution Log'!$M$2:$M$596,Lists!$H$6,'Contribution Log'!$K$2:$K$596,Lists!$K$3:$K$61,'Contribution Log'!$Q$2:$Q$596,"Yes - story complete")&gt;0)*1)</f>
        <v>0</v>
      </c>
    </row>
    <row r="15" ht="13.5" customHeight="1">
      <c r="E15" s="46" t="str">
        <f>"F - Provenance &amp; History"</f>
        <v>F - Provenance &amp; History</v>
      </c>
      <c r="F15" s="47">
        <f>COUNTIFS('Contribution Log'!$A$2:$A$596,"&gt;="&amp;$C$5,'Contribution Log'!$A$2:$A$596,"&lt;="&amp;$C$6,'Contribution Log'!$M$2:$M$596,Lists!$H$7)</f>
        <v>0</v>
      </c>
      <c r="G15" s="47">
        <f t="array" ref="G15">SUMPRODUCT((COUNTIFS('Contribution Log'!$A$2:$A$596,"&gt;="&amp;$C$5,'Contribution Log'!$A$2:$A$596,"&lt;="&amp;$C$6,'Contribution Log'!$M$2:$M$596,Lists!$H$7,'Contribution Log'!$K$2:$K$596,Lists!$K$3:$K$61,'Contribution Log'!$Q$2:$Q$596,"Yes - story complete")&gt;0)*1)</f>
        <v>0</v>
      </c>
    </row>
    <row r="16" ht="13.5" customHeight="1">
      <c r="E16" s="46" t="str">
        <f>"G - Roles, Permissions &amp; Organisations"</f>
        <v>G - Roles, Permissions &amp; Organisations</v>
      </c>
      <c r="F16" s="47">
        <f>COUNTIFS('Contribution Log'!$A$2:$A$596,"&gt;="&amp;$C$5,'Contribution Log'!$A$2:$A$596,"&lt;="&amp;$C$6,'Contribution Log'!$M$2:$M$596,Lists!$H$8)</f>
        <v>0</v>
      </c>
      <c r="G16" s="47">
        <f t="array" ref="G16">SUMPRODUCT((COUNTIFS('Contribution Log'!$A$2:$A$596,"&gt;="&amp;$C$5,'Contribution Log'!$A$2:$A$596,"&lt;="&amp;$C$6,'Contribution Log'!$M$2:$M$596,Lists!$H$8,'Contribution Log'!$K$2:$K$596,Lists!$K$3:$K$61,'Contribution Log'!$Q$2:$Q$596,"Yes - story complete")&gt;0)*1)</f>
        <v>0</v>
      </c>
    </row>
    <row r="17" ht="13.5" customHeight="1">
      <c r="E17" s="46" t="str">
        <f>"H - Release &amp; Export"</f>
        <v>H - Release &amp; Export</v>
      </c>
      <c r="F17" s="47">
        <f>COUNTIFS('Contribution Log'!$A$2:$A$596,"&gt;="&amp;$C$5,'Contribution Log'!$A$2:$A$596,"&lt;="&amp;$C$6,'Contribution Log'!$M$2:$M$596,Lists!$H$9)</f>
        <v>0</v>
      </c>
      <c r="G17" s="47">
        <f t="array" ref="G17">SUMPRODUCT((COUNTIFS('Contribution Log'!$A$2:$A$596,"&gt;="&amp;$C$5,'Contribution Log'!$A$2:$A$596,"&lt;="&amp;$C$6,'Contribution Log'!$M$2:$M$596,Lists!$H$9,'Contribution Log'!$K$2:$K$596,Lists!$K$3:$K$61,'Contribution Log'!$Q$2:$Q$596,"Yes - story complete")&gt;0)*1)</f>
        <v>0</v>
      </c>
    </row>
    <row r="18" ht="13.5" customHeight="1">
      <c r="B18" s="16" t="s">
        <v>452</v>
      </c>
      <c r="E18" s="46" t="str">
        <f>"I - Evaluation"</f>
        <v>I - Evaluation</v>
      </c>
      <c r="F18" s="47">
        <f>COUNTIFS('Contribution Log'!$A$2:$A$596,"&gt;="&amp;$C$5,'Contribution Log'!$A$2:$A$596,"&lt;="&amp;$C$6,'Contribution Log'!$M$2:$M$596,Lists!$H$10)</f>
        <v>0</v>
      </c>
      <c r="G18" s="47">
        <f t="array" ref="G18">SUMPRODUCT((COUNTIFS('Contribution Log'!$A$2:$A$596,"&gt;="&amp;$C$5,'Contribution Log'!$A$2:$A$596,"&lt;="&amp;$C$6,'Contribution Log'!$M$2:$M$596,Lists!$H$10,'Contribution Log'!$K$2:$K$596,Lists!$K$3:$K$61,'Contribution Log'!$Q$2:$Q$596,"Yes - story complete")&gt;0)*1)</f>
        <v>0</v>
      </c>
    </row>
    <row r="19" ht="63.75" customHeight="1">
      <c r="B19" s="44" t="s">
        <v>11</v>
      </c>
      <c r="C19" s="44" t="s">
        <v>69</v>
      </c>
      <c r="D19" s="44" t="s">
        <v>524</v>
      </c>
      <c r="E19" s="44" t="s">
        <v>140</v>
      </c>
      <c r="F19" s="67"/>
      <c r="G19" s="67"/>
    </row>
    <row r="20" ht="13.5" customHeight="1">
      <c r="B20" s="68" t="str">
        <f>Lists!$A$2</f>
        <v>Michael Max</v>
      </c>
      <c r="C20" s="47">
        <f>COUNTIFS('Contribution Log'!$A$2:$A$596,"&gt;="&amp;$C$5,'Contribution Log'!$A$2:$A$596,"&lt;="&amp;$C$6,'Contribution Log'!$C$2:$C$596,Lists!$A$2)</f>
        <v>5</v>
      </c>
      <c r="D20" s="47">
        <f>COUNTIFS('Contribution Log'!$A$2:$A$596,"&gt;="&amp;$C$5,'Contribution Log'!$A$2:$A$596,"&lt;="&amp;$C$6,'Contribution Log'!$D$2:$D$596,Lists!$A$2)</f>
        <v>0</v>
      </c>
      <c r="E20" s="47">
        <f t="array" ref="E20">SUMPRODUCT((COUNTIFS('Contribution Log'!$A$2:$A$596,"&gt;="&amp;$C$5,'Contribution Log'!$A$2:$A$596,"&lt;="&amp;$C$6,'Contribution Log'!$C$2:$C$596,Lists!$A$2,'Contribution Log'!$K$2:$K$596,Lists!$K$3:$K$61,'Contribution Log'!$Q$2:$Q$596,"Yes - story complete")&gt;0)*1)</f>
        <v>0</v>
      </c>
      <c r="F20" s="69"/>
      <c r="G20" s="9"/>
    </row>
    <row r="21" ht="13.5" customHeight="1">
      <c r="B21" s="68" t="str">
        <f>Lists!$A$3</f>
        <v>Parth</v>
      </c>
      <c r="C21" s="47">
        <f>COUNTIFS('Contribution Log'!$A$2:$A$596,"&gt;="&amp;$C$5,'Contribution Log'!$A$2:$A$596,"&lt;="&amp;$C$6,'Contribution Log'!$C$2:$C$596,Lists!$A$3)</f>
        <v>1</v>
      </c>
      <c r="D21" s="47">
        <f>COUNTIFS('Contribution Log'!$A$2:$A$596,"&gt;="&amp;$C$5,'Contribution Log'!$A$2:$A$596,"&lt;="&amp;$C$6,'Contribution Log'!$D$2:$D$596,Lists!$A$3)</f>
        <v>1</v>
      </c>
      <c r="E21" s="47">
        <f t="array" ref="E21">SUMPRODUCT((COUNTIFS('Contribution Log'!$A$2:$A$596,"&gt;="&amp;$C$5,'Contribution Log'!$A$2:$A$596,"&lt;="&amp;$C$6,'Contribution Log'!$C$2:$C$596,Lists!$A$3,'Contribution Log'!$K$2:$K$596,Lists!$K$3:$K$61,'Contribution Log'!$Q$2:$Q$596,"Yes - story complete")&gt;0)*1)</f>
        <v>0</v>
      </c>
      <c r="F21" s="69"/>
      <c r="G21" s="9"/>
    </row>
    <row r="22" ht="13.5" customHeight="1">
      <c r="B22" s="68" t="str">
        <f>Lists!$A$4</f>
        <v>Jingwei Lin</v>
      </c>
      <c r="C22" s="47">
        <f>COUNTIFS('Contribution Log'!$A$2:$A$596,"&gt;="&amp;$C$5,'Contribution Log'!$A$2:$A$596,"&lt;="&amp;$C$6,'Contribution Log'!$C$2:$C$596,Lists!$A$4)</f>
        <v>1</v>
      </c>
      <c r="D22" s="47">
        <f>COUNTIFS('Contribution Log'!$A$2:$A$596,"&gt;="&amp;$C$5,'Contribution Log'!$A$2:$A$596,"&lt;="&amp;$C$6,'Contribution Log'!$D$2:$D$596,Lists!$A$4)</f>
        <v>1</v>
      </c>
      <c r="E22" s="47">
        <f t="array" ref="E22">SUMPRODUCT((COUNTIFS('Contribution Log'!$A$2:$A$596,"&gt;="&amp;$C$5,'Contribution Log'!$A$2:$A$596,"&lt;="&amp;$C$6,'Contribution Log'!$C$2:$C$596,Lists!$A$4,'Contribution Log'!$K$2:$K$596,Lists!$K$3:$K$61,'Contribution Log'!$Q$2:$Q$596,"Yes - story complete")&gt;0)*1)</f>
        <v>0</v>
      </c>
      <c r="F22" s="69"/>
      <c r="G22" s="9"/>
    </row>
    <row r="23" ht="13.5" customHeight="1">
      <c r="B23" s="68" t="str">
        <f>Lists!$A$5</f>
        <v>Hanchen Wang</v>
      </c>
      <c r="C23" s="47">
        <f>COUNTIFS('Contribution Log'!$A$2:$A$596,"&gt;="&amp;$C$5,'Contribution Log'!$A$2:$A$596,"&lt;="&amp;$C$6,'Contribution Log'!$C$2:$C$596,Lists!$A$5)</f>
        <v>2</v>
      </c>
      <c r="D23" s="47">
        <f>COUNTIFS('Contribution Log'!$A$2:$A$596,"&gt;="&amp;$C$5,'Contribution Log'!$A$2:$A$596,"&lt;="&amp;$C$6,'Contribution Log'!$D$2:$D$596,Lists!$A$5)</f>
        <v>4</v>
      </c>
      <c r="E23" s="47">
        <f t="array" ref="E23">SUMPRODUCT((COUNTIFS('Contribution Log'!$A$2:$A$596,"&gt;="&amp;$C$5,'Contribution Log'!$A$2:$A$596,"&lt;="&amp;$C$6,'Contribution Log'!$C$2:$C$596,Lists!$A$5,'Contribution Log'!$K$2:$K$596,Lists!$K$3:$K$61,'Contribution Log'!$Q$2:$Q$596,"Yes - story complete")&gt;0)*1)</f>
        <v>0</v>
      </c>
      <c r="F23" s="69"/>
      <c r="G23" s="9"/>
    </row>
    <row r="24" ht="13.5" customHeight="1">
      <c r="B24" s="68" t="str">
        <f>Lists!$A$6</f>
        <v>Yi Geng</v>
      </c>
      <c r="C24" s="47">
        <f>COUNTIFS('Contribution Log'!$A$2:$A$596,"&gt;="&amp;$C$5,'Contribution Log'!$A$2:$A$596,"&lt;="&amp;$C$6,'Contribution Log'!$C$2:$C$596,Lists!$A$6)</f>
        <v>2</v>
      </c>
      <c r="D24" s="47">
        <f>COUNTIFS('Contribution Log'!$A$2:$A$596,"&gt;="&amp;$C$5,'Contribution Log'!$A$2:$A$596,"&lt;="&amp;$C$6,'Contribution Log'!$D$2:$D$596,Lists!$A$6)</f>
        <v>0</v>
      </c>
      <c r="E24" s="47">
        <f t="array" ref="E24">SUMPRODUCT((COUNTIFS('Contribution Log'!$A$2:$A$596,"&gt;="&amp;$C$5,'Contribution Log'!$A$2:$A$596,"&lt;="&amp;$C$6,'Contribution Log'!$C$2:$C$596,Lists!$A$6,'Contribution Log'!$K$2:$K$596,Lists!$K$3:$K$61,'Contribution Log'!$Q$2:$Q$596,"Yes - story complete")&gt;0)*1)</f>
        <v>0</v>
      </c>
      <c r="F24" s="69"/>
      <c r="G24" s="9"/>
    </row>
    <row r="25" ht="13.5" customHeight="1">
      <c r="B25" s="68" t="str">
        <f>Lists!$A$7</f>
        <v>Dishank Aswal</v>
      </c>
      <c r="C25" s="47">
        <f>COUNTIFS('Contribution Log'!$A$2:$A$596,"&gt;="&amp;$C$5,'Contribution Log'!$A$2:$A$596,"&lt;="&amp;$C$6,'Contribution Log'!$C$2:$C$596,Lists!$A$7)</f>
        <v>1</v>
      </c>
      <c r="D25" s="47">
        <f>COUNTIFS('Contribution Log'!$A$2:$A$596,"&gt;="&amp;$C$5,'Contribution Log'!$A$2:$A$596,"&lt;="&amp;$C$6,'Contribution Log'!$D$2:$D$596,Lists!$A$7)</f>
        <v>1</v>
      </c>
      <c r="E25" s="47">
        <f t="array" ref="E25">SUMPRODUCT((COUNTIFS('Contribution Log'!$A$2:$A$596,"&gt;="&amp;$C$5,'Contribution Log'!$A$2:$A$596,"&lt;="&amp;$C$6,'Contribution Log'!$C$2:$C$596,Lists!$A$7,'Contribution Log'!$K$2:$K$596,Lists!$K$3:$K$61,'Contribution Log'!$Q$2:$Q$596,"Yes - story complete")&gt;0)*1)</f>
        <v>1</v>
      </c>
      <c r="F25" s="69"/>
      <c r="G25" s="9"/>
    </row>
    <row r="26" ht="13.5" customHeight="1">
      <c r="B26" s="68" t="str">
        <f>Lists!$A$8</f>
        <v>Kanishka Kathait</v>
      </c>
      <c r="C26" s="47">
        <f>COUNTIFS('Contribution Log'!$A$2:$A$596,"&gt;="&amp;$C$5,'Contribution Log'!$A$2:$A$596,"&lt;="&amp;$C$6,'Contribution Log'!$C$2:$C$596,Lists!$A$8)</f>
        <v>0</v>
      </c>
      <c r="D26" s="47">
        <f>COUNTIFS('Contribution Log'!$A$2:$A$596,"&gt;="&amp;$C$5,'Contribution Log'!$A$2:$A$596,"&lt;="&amp;$C$6,'Contribution Log'!$D$2:$D$596,Lists!$A$8)</f>
        <v>2</v>
      </c>
      <c r="E26" s="47">
        <f t="array" ref="E26">SUMPRODUCT((COUNTIFS('Contribution Log'!$A$2:$A$596,"&gt;="&amp;$C$5,'Contribution Log'!$A$2:$A$596,"&lt;="&amp;$C$6,'Contribution Log'!$C$2:$C$596,Lists!$A$8,'Contribution Log'!$K$2:$K$596,Lists!$K$3:$K$61,'Contribution Log'!$Q$2:$Q$596,"Yes - story complete")&gt;0)*1)</f>
        <v>0</v>
      </c>
      <c r="F26" s="69"/>
      <c r="G26" s="9"/>
    </row>
    <row r="27" ht="13.5" customHeight="1">
      <c r="B27" s="68" t="str">
        <f>Lists!$A$9</f>
        <v>Tim Chung</v>
      </c>
      <c r="C27" s="47">
        <f>COUNTIFS('Contribution Log'!$A$2:$A$596,"&gt;="&amp;$C$5,'Contribution Log'!$A$2:$A$596,"&lt;="&amp;$C$6,'Contribution Log'!$C$2:$C$596,Lists!$A$9)</f>
        <v>1</v>
      </c>
      <c r="D27" s="47">
        <f>COUNTIFS('Contribution Log'!$A$2:$A$596,"&gt;="&amp;$C$5,'Contribution Log'!$A$2:$A$596,"&lt;="&amp;$C$6,'Contribution Log'!$D$2:$D$596,Lists!$A$9)</f>
        <v>0</v>
      </c>
      <c r="E27" s="47">
        <f t="array" ref="E27">SUMPRODUCT((COUNTIFS('Contribution Log'!$A$2:$A$596,"&gt;="&amp;$C$5,'Contribution Log'!$A$2:$A$596,"&lt;="&amp;$C$6,'Contribution Log'!$C$2:$C$596,Lists!$A$9,'Contribution Log'!$K$2:$K$596,Lists!$K$3:$K$61,'Contribution Log'!$Q$2:$Q$596,"Yes - story complete")&gt;0)*1)</f>
        <v>0</v>
      </c>
      <c r="F27" s="69"/>
      <c r="G27" s="9"/>
    </row>
    <row r="28" ht="13.5" customHeight="1"/>
    <row r="29" ht="13.5" customHeight="1"/>
    <row r="30" ht="13.5" customHeight="1">
      <c r="B30" s="16"/>
      <c r="E30" s="17"/>
    </row>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0.0"/>
    <col customWidth="1" min="2" max="2" width="24.0"/>
    <col customWidth="1" min="3" max="3" width="3.0"/>
    <col customWidth="1" min="4" max="4" width="22.0"/>
    <col customWidth="1" min="5" max="5" width="30.0"/>
    <col customWidth="1" min="6" max="6" width="24.0"/>
    <col customWidth="1" min="7" max="7" width="3.0"/>
    <col customWidth="1" min="8" max="8" width="8.0"/>
    <col customWidth="1" min="9" max="9" width="8.71"/>
    <col customWidth="1" min="10" max="10" width="3.0"/>
    <col customWidth="1" min="11" max="11" width="10.0"/>
    <col customWidth="1" min="12" max="12" width="7.0"/>
    <col customWidth="1" min="13" max="13" width="9.0"/>
    <col customWidth="1" min="14" max="14" width="8.0"/>
    <col customWidth="1" min="15" max="15" width="58.0"/>
    <col customWidth="1" min="16" max="16" width="26.0"/>
    <col customWidth="1" min="17" max="18" width="8.71"/>
    <col customWidth="1" min="19" max="19" width="3.0"/>
    <col customWidth="1" min="20" max="20" width="8.0"/>
    <col customWidth="1" min="21" max="22" width="17.0"/>
    <col customWidth="1" min="23" max="23" width="8.71"/>
    <col customWidth="1" min="24" max="25" width="26.0"/>
    <col customWidth="1" min="26" max="26" width="14.0"/>
  </cols>
  <sheetData>
    <row r="1" ht="13.5" customHeight="1">
      <c r="A1" s="70" t="s">
        <v>533</v>
      </c>
      <c r="B1" s="70" t="s">
        <v>534</v>
      </c>
      <c r="D1" s="70" t="s">
        <v>18</v>
      </c>
      <c r="E1" s="70" t="s">
        <v>19</v>
      </c>
      <c r="F1" s="70" t="s">
        <v>29</v>
      </c>
      <c r="H1" s="70" t="s">
        <v>23</v>
      </c>
      <c r="K1" s="70" t="s">
        <v>20</v>
      </c>
      <c r="L1" s="70" t="s">
        <v>23</v>
      </c>
      <c r="M1" s="70" t="s">
        <v>253</v>
      </c>
      <c r="N1" s="70" t="s">
        <v>535</v>
      </c>
      <c r="O1" s="70" t="s">
        <v>21</v>
      </c>
      <c r="P1" s="70" t="s">
        <v>536</v>
      </c>
      <c r="T1" s="70" t="s">
        <v>8</v>
      </c>
      <c r="U1" s="70" t="s">
        <v>537</v>
      </c>
      <c r="V1" s="70" t="s">
        <v>538</v>
      </c>
      <c r="X1" s="70" t="s">
        <v>57</v>
      </c>
      <c r="Y1" s="70" t="s">
        <v>539</v>
      </c>
      <c r="Z1" s="70" t="s">
        <v>14</v>
      </c>
    </row>
    <row r="2" ht="13.5" customHeight="1">
      <c r="A2" s="50" t="s">
        <v>81</v>
      </c>
      <c r="B2" s="71">
        <v>46237.0</v>
      </c>
      <c r="D2" s="50" t="s">
        <v>82</v>
      </c>
      <c r="E2" s="50" t="s">
        <v>133</v>
      </c>
      <c r="F2" s="50" t="s">
        <v>91</v>
      </c>
      <c r="H2" s="50" t="s">
        <v>242</v>
      </c>
      <c r="K2" s="72" t="s">
        <v>102</v>
      </c>
      <c r="O2" s="72" t="s">
        <v>540</v>
      </c>
      <c r="T2" s="73" t="s">
        <v>311</v>
      </c>
      <c r="U2" s="74">
        <f>$B$2+0</f>
        <v>46237</v>
      </c>
      <c r="V2" s="74">
        <f>$B$2+6</f>
        <v>46243</v>
      </c>
      <c r="Z2" s="50" t="s">
        <v>223</v>
      </c>
    </row>
    <row r="3" ht="13.5" customHeight="1">
      <c r="A3" s="50" t="s">
        <v>93</v>
      </c>
      <c r="B3" s="17" t="s">
        <v>541</v>
      </c>
      <c r="D3" s="50" t="s">
        <v>88</v>
      </c>
      <c r="E3" s="50" t="s">
        <v>121</v>
      </c>
      <c r="F3" s="50" t="s">
        <v>85</v>
      </c>
      <c r="H3" s="50" t="s">
        <v>260</v>
      </c>
      <c r="K3" s="50" t="s">
        <v>542</v>
      </c>
      <c r="L3" s="50" t="s">
        <v>242</v>
      </c>
      <c r="M3" s="50" t="s">
        <v>543</v>
      </c>
      <c r="N3" s="50" t="s">
        <v>544</v>
      </c>
      <c r="O3" s="50" t="s">
        <v>545</v>
      </c>
      <c r="P3" s="50"/>
      <c r="T3" s="73" t="s">
        <v>318</v>
      </c>
      <c r="U3" s="74">
        <f>$B$2+7</f>
        <v>46244</v>
      </c>
      <c r="V3" s="74">
        <f>$B$2+13</f>
        <v>46250</v>
      </c>
      <c r="X3" s="50" t="s">
        <v>232</v>
      </c>
      <c r="Y3" s="50" t="s">
        <v>292</v>
      </c>
      <c r="Z3" s="50" t="s">
        <v>218</v>
      </c>
    </row>
    <row r="4" ht="13.5" customHeight="1">
      <c r="A4" s="50" t="s">
        <v>111</v>
      </c>
      <c r="B4" s="17" t="s">
        <v>546</v>
      </c>
      <c r="D4" s="50" t="s">
        <v>99</v>
      </c>
      <c r="E4" s="50" t="s">
        <v>547</v>
      </c>
      <c r="F4" s="50" t="s">
        <v>98</v>
      </c>
      <c r="H4" s="50" t="s">
        <v>548</v>
      </c>
      <c r="K4" s="50" t="s">
        <v>116</v>
      </c>
      <c r="L4" s="50" t="s">
        <v>242</v>
      </c>
      <c r="M4" s="50" t="s">
        <v>543</v>
      </c>
      <c r="N4" s="50" t="s">
        <v>549</v>
      </c>
      <c r="O4" s="50" t="s">
        <v>550</v>
      </c>
      <c r="P4" s="50" t="s">
        <v>112</v>
      </c>
      <c r="T4" s="73" t="s">
        <v>342</v>
      </c>
      <c r="U4" s="74">
        <f>$B$2+14</f>
        <v>46251</v>
      </c>
      <c r="V4" s="74">
        <f>$B$2+20</f>
        <v>46257</v>
      </c>
      <c r="X4" s="50" t="s">
        <v>232</v>
      </c>
      <c r="Y4" s="50" t="s">
        <v>68</v>
      </c>
      <c r="Z4" s="50" t="s">
        <v>274</v>
      </c>
    </row>
    <row r="5" ht="13.5" customHeight="1">
      <c r="A5" s="50" t="s">
        <v>80</v>
      </c>
      <c r="B5" s="17" t="s">
        <v>551</v>
      </c>
      <c r="D5" s="50" t="s">
        <v>552</v>
      </c>
      <c r="E5" s="50" t="s">
        <v>150</v>
      </c>
      <c r="H5" s="50" t="s">
        <v>248</v>
      </c>
      <c r="K5" s="50" t="s">
        <v>172</v>
      </c>
      <c r="L5" s="50" t="s">
        <v>242</v>
      </c>
      <c r="M5" s="50" t="s">
        <v>543</v>
      </c>
      <c r="N5" s="50" t="s">
        <v>549</v>
      </c>
      <c r="O5" s="50" t="s">
        <v>553</v>
      </c>
      <c r="P5" s="50" t="s">
        <v>168</v>
      </c>
      <c r="T5" s="73" t="s">
        <v>353</v>
      </c>
      <c r="U5" s="74">
        <f>$B$2+21</f>
        <v>46258</v>
      </c>
      <c r="V5" s="74">
        <f>$B$2+27</f>
        <v>46264</v>
      </c>
      <c r="X5" s="50" t="s">
        <v>232</v>
      </c>
      <c r="Y5" s="50" t="s">
        <v>68</v>
      </c>
      <c r="Z5" s="50" t="s">
        <v>337</v>
      </c>
    </row>
    <row r="6" ht="13.5" customHeight="1">
      <c r="A6" s="50" t="s">
        <v>58</v>
      </c>
      <c r="B6" s="17" t="s">
        <v>554</v>
      </c>
      <c r="D6" s="50" t="s">
        <v>220</v>
      </c>
      <c r="E6" s="50" t="s">
        <v>228</v>
      </c>
      <c r="H6" s="50" t="s">
        <v>555</v>
      </c>
      <c r="K6" s="50" t="s">
        <v>455</v>
      </c>
      <c r="L6" s="50" t="s">
        <v>242</v>
      </c>
      <c r="M6" s="50" t="s">
        <v>543</v>
      </c>
      <c r="N6" s="50" t="s">
        <v>549</v>
      </c>
      <c r="O6" s="50" t="s">
        <v>556</v>
      </c>
      <c r="P6" s="50" t="s">
        <v>453</v>
      </c>
      <c r="T6" s="73" t="s">
        <v>368</v>
      </c>
      <c r="U6" s="74">
        <f>$B$2+28</f>
        <v>46265</v>
      </c>
      <c r="V6" s="74">
        <f>$B$2+34</f>
        <v>46271</v>
      </c>
      <c r="X6" s="50" t="s">
        <v>232</v>
      </c>
      <c r="Y6" s="50" t="s">
        <v>68</v>
      </c>
      <c r="Z6" s="50" t="s">
        <v>145</v>
      </c>
    </row>
    <row r="7" ht="13.5" customHeight="1">
      <c r="A7" s="50" t="s">
        <v>87</v>
      </c>
      <c r="D7" s="50" t="s">
        <v>557</v>
      </c>
      <c r="E7" s="50" t="s">
        <v>115</v>
      </c>
      <c r="H7" s="50" t="s">
        <v>558</v>
      </c>
      <c r="K7" s="50" t="s">
        <v>559</v>
      </c>
      <c r="L7" s="50" t="s">
        <v>242</v>
      </c>
      <c r="M7" s="50" t="s">
        <v>543</v>
      </c>
      <c r="N7" s="50" t="s">
        <v>549</v>
      </c>
      <c r="O7" s="50" t="s">
        <v>560</v>
      </c>
      <c r="P7" s="50"/>
      <c r="T7" s="73" t="s">
        <v>386</v>
      </c>
      <c r="U7" s="74">
        <f>$B$2+35</f>
        <v>46272</v>
      </c>
      <c r="V7" s="74">
        <f>$B$2+41</f>
        <v>46278</v>
      </c>
      <c r="X7" s="50" t="s">
        <v>232</v>
      </c>
      <c r="Y7" s="50" t="s">
        <v>292</v>
      </c>
      <c r="Z7" s="50" t="s">
        <v>343</v>
      </c>
    </row>
    <row r="8" ht="13.5" customHeight="1">
      <c r="A8" s="50" t="s">
        <v>175</v>
      </c>
      <c r="D8" s="50" t="s">
        <v>114</v>
      </c>
      <c r="E8" s="50" t="s">
        <v>221</v>
      </c>
      <c r="H8" s="50" t="s">
        <v>561</v>
      </c>
      <c r="K8" s="50" t="s">
        <v>476</v>
      </c>
      <c r="L8" s="50" t="s">
        <v>260</v>
      </c>
      <c r="M8" s="50" t="s">
        <v>543</v>
      </c>
      <c r="N8" s="50" t="s">
        <v>562</v>
      </c>
      <c r="O8" s="50" t="s">
        <v>563</v>
      </c>
      <c r="P8" s="50" t="s">
        <v>474</v>
      </c>
      <c r="T8" s="73" t="s">
        <v>238</v>
      </c>
      <c r="U8" s="74">
        <f>$B$2+42</f>
        <v>46279</v>
      </c>
      <c r="V8" s="74">
        <v>46288.0</v>
      </c>
      <c r="X8" s="50" t="s">
        <v>148</v>
      </c>
      <c r="Y8" s="50" t="s">
        <v>338</v>
      </c>
      <c r="Z8" s="50" t="s">
        <v>194</v>
      </c>
    </row>
    <row r="9" ht="13.5" customHeight="1">
      <c r="A9" s="50" t="s">
        <v>193</v>
      </c>
      <c r="D9" s="50" t="s">
        <v>95</v>
      </c>
      <c r="E9" s="50" t="s">
        <v>101</v>
      </c>
      <c r="H9" s="50" t="s">
        <v>564</v>
      </c>
      <c r="K9" s="50" t="s">
        <v>247</v>
      </c>
      <c r="L9" s="50" t="s">
        <v>260</v>
      </c>
      <c r="M9" s="50" t="s">
        <v>543</v>
      </c>
      <c r="N9" s="50" t="s">
        <v>565</v>
      </c>
      <c r="O9" s="50" t="s">
        <v>566</v>
      </c>
      <c r="P9" s="50" t="s">
        <v>567</v>
      </c>
      <c r="T9" s="73" t="s">
        <v>269</v>
      </c>
      <c r="U9" s="74">
        <v>46289.0</v>
      </c>
      <c r="V9" s="74">
        <v>46295.0</v>
      </c>
      <c r="X9" s="50" t="s">
        <v>148</v>
      </c>
      <c r="Y9" s="50" t="s">
        <v>568</v>
      </c>
      <c r="Z9" s="50" t="s">
        <v>245</v>
      </c>
    </row>
    <row r="10" ht="13.5" customHeight="1">
      <c r="H10" s="50" t="s">
        <v>569</v>
      </c>
      <c r="K10" s="50" t="s">
        <v>458</v>
      </c>
      <c r="L10" s="50" t="s">
        <v>260</v>
      </c>
      <c r="M10" s="50" t="s">
        <v>543</v>
      </c>
      <c r="N10" s="50" t="s">
        <v>562</v>
      </c>
      <c r="O10" s="50" t="s">
        <v>570</v>
      </c>
      <c r="P10" s="50" t="s">
        <v>456</v>
      </c>
      <c r="T10" s="73" t="s">
        <v>446</v>
      </c>
      <c r="U10" s="74">
        <v>46296.0</v>
      </c>
      <c r="V10" s="74">
        <v>46302.0</v>
      </c>
      <c r="X10" s="50" t="s">
        <v>148</v>
      </c>
      <c r="Y10" s="50" t="s">
        <v>338</v>
      </c>
      <c r="Z10" s="50" t="s">
        <v>186</v>
      </c>
    </row>
    <row r="11" ht="13.5" customHeight="1">
      <c r="H11" s="50" t="s">
        <v>571</v>
      </c>
      <c r="K11" s="50" t="s">
        <v>356</v>
      </c>
      <c r="L11" s="50" t="s">
        <v>260</v>
      </c>
      <c r="M11" s="50" t="s">
        <v>543</v>
      </c>
      <c r="N11" s="50" t="s">
        <v>565</v>
      </c>
      <c r="O11" s="50" t="s">
        <v>572</v>
      </c>
      <c r="P11" s="50" t="s">
        <v>354</v>
      </c>
      <c r="T11" s="73" t="s">
        <v>369</v>
      </c>
      <c r="U11" s="74">
        <v>46303.0</v>
      </c>
      <c r="V11" s="74">
        <v>46309.0</v>
      </c>
      <c r="X11" s="50" t="s">
        <v>164</v>
      </c>
      <c r="Y11" s="50" t="s">
        <v>338</v>
      </c>
      <c r="Z11" s="50" t="s">
        <v>152</v>
      </c>
    </row>
    <row r="12" ht="13.5" customHeight="1">
      <c r="H12" s="50" t="s">
        <v>573</v>
      </c>
      <c r="K12" s="50" t="s">
        <v>159</v>
      </c>
      <c r="L12" s="50" t="s">
        <v>260</v>
      </c>
      <c r="M12" s="50" t="s">
        <v>543</v>
      </c>
      <c r="N12" s="50" t="s">
        <v>565</v>
      </c>
      <c r="O12" s="50" t="s">
        <v>574</v>
      </c>
      <c r="P12" s="50" t="s">
        <v>575</v>
      </c>
      <c r="T12" s="73" t="s">
        <v>486</v>
      </c>
      <c r="U12" s="74">
        <v>46310.0</v>
      </c>
      <c r="V12" s="74">
        <v>46316.0</v>
      </c>
      <c r="X12" s="50" t="s">
        <v>164</v>
      </c>
      <c r="Y12" s="50" t="s">
        <v>68</v>
      </c>
      <c r="Z12" s="50" t="s">
        <v>158</v>
      </c>
    </row>
    <row r="13" ht="13.5" customHeight="1">
      <c r="K13" s="50" t="s">
        <v>259</v>
      </c>
      <c r="L13" s="50" t="s">
        <v>260</v>
      </c>
      <c r="M13" s="50" t="s">
        <v>267</v>
      </c>
      <c r="N13" s="50" t="s">
        <v>565</v>
      </c>
      <c r="O13" s="50" t="s">
        <v>576</v>
      </c>
      <c r="P13" s="50" t="s">
        <v>255</v>
      </c>
      <c r="T13" s="73" t="s">
        <v>509</v>
      </c>
      <c r="U13" s="74">
        <v>46317.0</v>
      </c>
      <c r="V13" s="74">
        <v>46323.0</v>
      </c>
      <c r="X13" s="50" t="s">
        <v>212</v>
      </c>
      <c r="Y13" s="50" t="s">
        <v>68</v>
      </c>
      <c r="Z13" s="50" t="s">
        <v>354</v>
      </c>
    </row>
    <row r="14" ht="13.5" customHeight="1">
      <c r="K14" s="50" t="s">
        <v>151</v>
      </c>
      <c r="L14" s="50" t="s">
        <v>548</v>
      </c>
      <c r="M14" s="50" t="s">
        <v>267</v>
      </c>
      <c r="N14" s="50" t="s">
        <v>565</v>
      </c>
      <c r="O14" s="50" t="s">
        <v>577</v>
      </c>
      <c r="P14" s="50" t="s">
        <v>145</v>
      </c>
      <c r="T14" s="73" t="s">
        <v>525</v>
      </c>
      <c r="U14" s="74">
        <v>46324.0</v>
      </c>
      <c r="V14" s="74">
        <f t="shared" ref="V14:V15" si="1">$B$2+90</f>
        <v>46327</v>
      </c>
      <c r="X14" s="50" t="s">
        <v>232</v>
      </c>
      <c r="Y14" s="50" t="s">
        <v>68</v>
      </c>
      <c r="Z14" s="50" t="s">
        <v>182</v>
      </c>
    </row>
    <row r="15" ht="13.5" customHeight="1">
      <c r="K15" s="50" t="s">
        <v>83</v>
      </c>
      <c r="L15" s="50" t="s">
        <v>548</v>
      </c>
      <c r="M15" s="50" t="s">
        <v>543</v>
      </c>
      <c r="N15" s="50" t="s">
        <v>565</v>
      </c>
      <c r="O15" s="50" t="s">
        <v>578</v>
      </c>
      <c r="P15" s="50" t="s">
        <v>579</v>
      </c>
      <c r="T15" s="75" t="s">
        <v>580</v>
      </c>
      <c r="V15" s="76">
        <f t="shared" si="1"/>
        <v>46327</v>
      </c>
      <c r="X15" s="50" t="s">
        <v>75</v>
      </c>
      <c r="Y15" s="50" t="s">
        <v>568</v>
      </c>
      <c r="Z15" s="50" t="s">
        <v>235</v>
      </c>
    </row>
    <row r="16" ht="13.5" customHeight="1">
      <c r="K16" s="50" t="s">
        <v>89</v>
      </c>
      <c r="L16" s="50" t="s">
        <v>548</v>
      </c>
      <c r="M16" s="50" t="s">
        <v>543</v>
      </c>
      <c r="N16" s="50" t="s">
        <v>565</v>
      </c>
      <c r="O16" s="50" t="s">
        <v>581</v>
      </c>
      <c r="P16" s="50" t="s">
        <v>582</v>
      </c>
      <c r="T16" s="17" t="s">
        <v>583</v>
      </c>
      <c r="X16" s="50" t="s">
        <v>128</v>
      </c>
      <c r="Y16" s="50" t="s">
        <v>68</v>
      </c>
      <c r="Z16" s="50" t="s">
        <v>359</v>
      </c>
    </row>
    <row r="17" ht="13.5" customHeight="1">
      <c r="K17" s="50" t="s">
        <v>464</v>
      </c>
      <c r="L17" s="50" t="s">
        <v>548</v>
      </c>
      <c r="M17" s="50" t="s">
        <v>267</v>
      </c>
      <c r="N17" s="50" t="s">
        <v>562</v>
      </c>
      <c r="O17" s="50" t="s">
        <v>584</v>
      </c>
      <c r="P17" s="50" t="s">
        <v>462</v>
      </c>
      <c r="X17" s="50" t="s">
        <v>179</v>
      </c>
      <c r="Y17" s="50" t="s">
        <v>338</v>
      </c>
      <c r="Z17" s="50" t="s">
        <v>214</v>
      </c>
    </row>
    <row r="18" ht="13.5" customHeight="1">
      <c r="K18" s="50" t="s">
        <v>204</v>
      </c>
      <c r="L18" s="50" t="s">
        <v>548</v>
      </c>
      <c r="M18" s="50" t="s">
        <v>267</v>
      </c>
      <c r="N18" s="50" t="s">
        <v>562</v>
      </c>
      <c r="O18" s="50" t="s">
        <v>208</v>
      </c>
      <c r="P18" s="50" t="s">
        <v>585</v>
      </c>
      <c r="X18" s="50" t="s">
        <v>179</v>
      </c>
      <c r="Y18" s="50" t="s">
        <v>568</v>
      </c>
      <c r="Z18" s="50" t="s">
        <v>124</v>
      </c>
    </row>
    <row r="19" ht="13.5" customHeight="1">
      <c r="K19" s="50" t="s">
        <v>461</v>
      </c>
      <c r="L19" s="50" t="s">
        <v>248</v>
      </c>
      <c r="M19" s="50" t="s">
        <v>543</v>
      </c>
      <c r="N19" s="50" t="s">
        <v>565</v>
      </c>
      <c r="O19" s="50" t="s">
        <v>586</v>
      </c>
      <c r="P19" s="50" t="s">
        <v>459</v>
      </c>
      <c r="X19" s="50" t="s">
        <v>206</v>
      </c>
      <c r="Y19" s="50" t="s">
        <v>338</v>
      </c>
      <c r="Z19" s="50" t="s">
        <v>131</v>
      </c>
    </row>
    <row r="20" ht="13.5" customHeight="1">
      <c r="K20" s="50" t="s">
        <v>126</v>
      </c>
      <c r="L20" s="50" t="s">
        <v>248</v>
      </c>
      <c r="M20" s="50" t="s">
        <v>543</v>
      </c>
      <c r="N20" s="50" t="s">
        <v>565</v>
      </c>
      <c r="O20" s="50" t="s">
        <v>587</v>
      </c>
      <c r="P20" s="50" t="s">
        <v>588</v>
      </c>
      <c r="X20" s="50" t="s">
        <v>206</v>
      </c>
      <c r="Y20" s="50" t="s">
        <v>568</v>
      </c>
      <c r="Z20" s="50" t="s">
        <v>203</v>
      </c>
    </row>
    <row r="21" ht="13.5" customHeight="1">
      <c r="K21" s="50" t="s">
        <v>371</v>
      </c>
      <c r="L21" s="50" t="s">
        <v>248</v>
      </c>
      <c r="M21" s="50" t="s">
        <v>543</v>
      </c>
      <c r="N21" s="50" t="s">
        <v>565</v>
      </c>
      <c r="O21" s="50" t="s">
        <v>589</v>
      </c>
      <c r="P21" s="50" t="s">
        <v>590</v>
      </c>
      <c r="X21" s="50" t="s">
        <v>206</v>
      </c>
      <c r="Y21" s="50" t="s">
        <v>338</v>
      </c>
      <c r="Z21" s="50" t="s">
        <v>367</v>
      </c>
    </row>
    <row r="22" ht="13.5" customHeight="1">
      <c r="K22" s="50" t="s">
        <v>362</v>
      </c>
      <c r="L22" s="50" t="s">
        <v>248</v>
      </c>
      <c r="M22" s="50" t="s">
        <v>543</v>
      </c>
      <c r="N22" s="50" t="s">
        <v>565</v>
      </c>
      <c r="O22" s="50" t="s">
        <v>591</v>
      </c>
      <c r="P22" s="50" t="s">
        <v>359</v>
      </c>
      <c r="X22" s="50" t="s">
        <v>190</v>
      </c>
      <c r="Y22" s="50" t="s">
        <v>338</v>
      </c>
      <c r="Z22" s="50" t="s">
        <v>176</v>
      </c>
    </row>
    <row r="23" ht="13.5" customHeight="1">
      <c r="K23" s="50" t="s">
        <v>216</v>
      </c>
      <c r="L23" s="50" t="s">
        <v>248</v>
      </c>
      <c r="M23" s="50" t="s">
        <v>543</v>
      </c>
      <c r="N23" s="50" t="s">
        <v>565</v>
      </c>
      <c r="O23" s="50" t="s">
        <v>592</v>
      </c>
      <c r="P23" s="50" t="s">
        <v>593</v>
      </c>
      <c r="X23" s="50" t="s">
        <v>190</v>
      </c>
      <c r="Y23" s="50" t="s">
        <v>68</v>
      </c>
      <c r="Z23" s="50" t="s">
        <v>199</v>
      </c>
    </row>
    <row r="24" ht="13.5" customHeight="1">
      <c r="K24" s="50" t="s">
        <v>184</v>
      </c>
      <c r="L24" s="50" t="s">
        <v>248</v>
      </c>
      <c r="M24" s="50" t="s">
        <v>543</v>
      </c>
      <c r="N24" s="50" t="s">
        <v>565</v>
      </c>
      <c r="O24" s="50" t="s">
        <v>594</v>
      </c>
      <c r="P24" s="50" t="s">
        <v>182</v>
      </c>
      <c r="X24" s="50" t="s">
        <v>190</v>
      </c>
      <c r="Y24" s="50" t="s">
        <v>68</v>
      </c>
      <c r="Z24" s="50" t="s">
        <v>374</v>
      </c>
    </row>
    <row r="25" ht="13.5" customHeight="1">
      <c r="K25" s="50" t="s">
        <v>595</v>
      </c>
      <c r="L25" s="50" t="s">
        <v>248</v>
      </c>
      <c r="M25" s="50" t="s">
        <v>267</v>
      </c>
      <c r="N25" s="50" t="s">
        <v>565</v>
      </c>
      <c r="O25" s="50" t="s">
        <v>596</v>
      </c>
      <c r="P25" s="50" t="s">
        <v>408</v>
      </c>
      <c r="X25" s="50" t="s">
        <v>179</v>
      </c>
      <c r="Y25" s="50" t="s">
        <v>338</v>
      </c>
      <c r="Z25" s="50" t="s">
        <v>378</v>
      </c>
    </row>
    <row r="26" ht="13.5" customHeight="1">
      <c r="K26" s="50" t="s">
        <v>401</v>
      </c>
      <c r="L26" s="50" t="s">
        <v>248</v>
      </c>
      <c r="M26" s="50" t="s">
        <v>543</v>
      </c>
      <c r="N26" s="50" t="s">
        <v>562</v>
      </c>
      <c r="O26" s="50" t="s">
        <v>597</v>
      </c>
      <c r="P26" s="50" t="s">
        <v>598</v>
      </c>
      <c r="X26" s="50" t="s">
        <v>179</v>
      </c>
      <c r="Y26" s="50" t="s">
        <v>568</v>
      </c>
      <c r="Z26" s="50" t="s">
        <v>381</v>
      </c>
    </row>
    <row r="27" ht="13.5" customHeight="1">
      <c r="K27" s="50" t="s">
        <v>499</v>
      </c>
      <c r="L27" s="50" t="s">
        <v>555</v>
      </c>
      <c r="M27" s="50" t="s">
        <v>543</v>
      </c>
      <c r="N27" s="50" t="s">
        <v>565</v>
      </c>
      <c r="O27" s="50" t="s">
        <v>599</v>
      </c>
      <c r="P27" s="50" t="s">
        <v>600</v>
      </c>
      <c r="X27" s="50" t="s">
        <v>206</v>
      </c>
      <c r="Y27" s="50" t="s">
        <v>338</v>
      </c>
      <c r="Z27" s="50" t="s">
        <v>384</v>
      </c>
    </row>
    <row r="28" ht="13.5" customHeight="1">
      <c r="K28" s="50" t="s">
        <v>201</v>
      </c>
      <c r="L28" s="50" t="s">
        <v>555</v>
      </c>
      <c r="M28" s="50" t="s">
        <v>543</v>
      </c>
      <c r="N28" s="50" t="s">
        <v>601</v>
      </c>
      <c r="O28" s="50" t="s">
        <v>602</v>
      </c>
      <c r="P28" s="50" t="s">
        <v>199</v>
      </c>
      <c r="X28" s="50" t="s">
        <v>179</v>
      </c>
      <c r="Y28" s="50" t="s">
        <v>68</v>
      </c>
      <c r="Z28" s="50" t="s">
        <v>255</v>
      </c>
    </row>
    <row r="29" ht="13.5" customHeight="1">
      <c r="K29" s="50" t="s">
        <v>493</v>
      </c>
      <c r="L29" s="50" t="s">
        <v>555</v>
      </c>
      <c r="M29" s="50" t="s">
        <v>267</v>
      </c>
      <c r="N29" s="50" t="s">
        <v>565</v>
      </c>
      <c r="O29" s="50" t="s">
        <v>603</v>
      </c>
      <c r="P29" s="50" t="s">
        <v>604</v>
      </c>
      <c r="X29" s="50" t="s">
        <v>206</v>
      </c>
      <c r="Y29" s="50" t="s">
        <v>338</v>
      </c>
      <c r="Z29" s="50" t="s">
        <v>119</v>
      </c>
    </row>
    <row r="30" ht="13.5" customHeight="1">
      <c r="K30" s="50" t="s">
        <v>496</v>
      </c>
      <c r="L30" s="50" t="s">
        <v>555</v>
      </c>
      <c r="M30" s="50" t="s">
        <v>267</v>
      </c>
      <c r="N30" s="50" t="s">
        <v>565</v>
      </c>
      <c r="O30" s="50" t="s">
        <v>605</v>
      </c>
      <c r="P30" s="50" t="s">
        <v>494</v>
      </c>
      <c r="X30" s="50" t="s">
        <v>206</v>
      </c>
      <c r="Y30" s="50" t="s">
        <v>338</v>
      </c>
      <c r="Z30" s="50" t="s">
        <v>392</v>
      </c>
    </row>
    <row r="31" ht="13.5" customHeight="1">
      <c r="K31" s="50" t="s">
        <v>518</v>
      </c>
      <c r="L31" s="50" t="s">
        <v>555</v>
      </c>
      <c r="M31" s="50" t="s">
        <v>267</v>
      </c>
      <c r="N31" s="50" t="s">
        <v>565</v>
      </c>
      <c r="O31" s="50" t="s">
        <v>606</v>
      </c>
      <c r="P31" s="50" t="s">
        <v>516</v>
      </c>
      <c r="X31" s="50" t="s">
        <v>206</v>
      </c>
      <c r="Y31" s="50" t="s">
        <v>338</v>
      </c>
      <c r="Z31" s="50" t="s">
        <v>270</v>
      </c>
    </row>
    <row r="32" ht="13.5" customHeight="1">
      <c r="K32" s="50" t="s">
        <v>505</v>
      </c>
      <c r="L32" s="50" t="s">
        <v>555</v>
      </c>
      <c r="M32" s="50" t="s">
        <v>543</v>
      </c>
      <c r="N32" s="50" t="s">
        <v>601</v>
      </c>
      <c r="O32" s="50" t="s">
        <v>607</v>
      </c>
      <c r="P32" s="50" t="s">
        <v>608</v>
      </c>
      <c r="X32" s="50" t="s">
        <v>179</v>
      </c>
      <c r="Y32" s="50" t="s">
        <v>338</v>
      </c>
      <c r="Z32" s="50" t="s">
        <v>396</v>
      </c>
    </row>
    <row r="33" ht="13.5" customHeight="1">
      <c r="K33" s="50" t="s">
        <v>490</v>
      </c>
      <c r="L33" s="50" t="s">
        <v>558</v>
      </c>
      <c r="M33" s="50" t="s">
        <v>543</v>
      </c>
      <c r="N33" s="50" t="s">
        <v>565</v>
      </c>
      <c r="O33" s="50" t="s">
        <v>609</v>
      </c>
      <c r="P33" s="50" t="s">
        <v>488</v>
      </c>
      <c r="X33" s="50" t="s">
        <v>212</v>
      </c>
      <c r="Y33" s="50" t="s">
        <v>338</v>
      </c>
      <c r="Z33" s="50" t="s">
        <v>398</v>
      </c>
    </row>
    <row r="34" ht="13.5" customHeight="1">
      <c r="K34" s="50" t="s">
        <v>416</v>
      </c>
      <c r="L34" s="50" t="s">
        <v>558</v>
      </c>
      <c r="M34" s="50" t="s">
        <v>267</v>
      </c>
      <c r="N34" s="50" t="s">
        <v>565</v>
      </c>
      <c r="O34" s="50" t="s">
        <v>610</v>
      </c>
      <c r="P34" s="50" t="s">
        <v>414</v>
      </c>
      <c r="X34" s="50" t="s">
        <v>232</v>
      </c>
      <c r="Y34" s="50" t="s">
        <v>338</v>
      </c>
      <c r="Z34" s="50" t="s">
        <v>402</v>
      </c>
    </row>
    <row r="35" ht="13.5" customHeight="1">
      <c r="K35" s="50" t="s">
        <v>380</v>
      </c>
      <c r="L35" s="50" t="s">
        <v>558</v>
      </c>
      <c r="M35" s="50" t="s">
        <v>543</v>
      </c>
      <c r="N35" s="50" t="s">
        <v>565</v>
      </c>
      <c r="O35" s="50" t="s">
        <v>611</v>
      </c>
      <c r="P35" s="50" t="s">
        <v>378</v>
      </c>
      <c r="X35" s="50" t="s">
        <v>212</v>
      </c>
      <c r="Y35" s="50" t="s">
        <v>338</v>
      </c>
      <c r="Z35" s="50" t="s">
        <v>405</v>
      </c>
    </row>
    <row r="36" ht="13.5" customHeight="1">
      <c r="K36" s="50" t="s">
        <v>383</v>
      </c>
      <c r="L36" s="50" t="s">
        <v>558</v>
      </c>
      <c r="M36" s="50" t="s">
        <v>267</v>
      </c>
      <c r="N36" s="50" t="s">
        <v>565</v>
      </c>
      <c r="O36" s="50" t="s">
        <v>612</v>
      </c>
      <c r="P36" s="50" t="s">
        <v>613</v>
      </c>
      <c r="X36" s="50" t="s">
        <v>212</v>
      </c>
      <c r="Y36" s="50" t="s">
        <v>338</v>
      </c>
      <c r="Z36" s="50" t="s">
        <v>408</v>
      </c>
    </row>
    <row r="37" ht="13.5" customHeight="1">
      <c r="K37" s="50" t="s">
        <v>515</v>
      </c>
      <c r="L37" s="50" t="s">
        <v>558</v>
      </c>
      <c r="M37" s="50" t="s">
        <v>267</v>
      </c>
      <c r="N37" s="50" t="s">
        <v>601</v>
      </c>
      <c r="O37" s="50" t="s">
        <v>614</v>
      </c>
      <c r="P37" s="50" t="s">
        <v>513</v>
      </c>
      <c r="X37" s="50" t="s">
        <v>232</v>
      </c>
      <c r="Y37" s="50" t="s">
        <v>338</v>
      </c>
      <c r="Z37" s="50" t="s">
        <v>411</v>
      </c>
    </row>
    <row r="38" ht="13.5" customHeight="1">
      <c r="K38" s="50" t="s">
        <v>122</v>
      </c>
      <c r="L38" s="50" t="s">
        <v>561</v>
      </c>
      <c r="M38" s="50" t="s">
        <v>543</v>
      </c>
      <c r="N38" s="50" t="s">
        <v>565</v>
      </c>
      <c r="O38" s="50" t="s">
        <v>615</v>
      </c>
      <c r="P38" s="50" t="s">
        <v>616</v>
      </c>
      <c r="X38" s="50" t="s">
        <v>206</v>
      </c>
      <c r="Y38" s="50" t="s">
        <v>568</v>
      </c>
      <c r="Z38" s="50" t="s">
        <v>414</v>
      </c>
    </row>
    <row r="39" ht="13.5" customHeight="1">
      <c r="K39" s="50" t="s">
        <v>617</v>
      </c>
      <c r="L39" s="50" t="s">
        <v>561</v>
      </c>
      <c r="M39" s="50" t="s">
        <v>267</v>
      </c>
      <c r="N39" s="50" t="s">
        <v>565</v>
      </c>
      <c r="O39" s="50" t="s">
        <v>618</v>
      </c>
      <c r="P39" s="50" t="s">
        <v>405</v>
      </c>
      <c r="X39" s="50" t="s">
        <v>232</v>
      </c>
      <c r="Y39" s="50" t="s">
        <v>338</v>
      </c>
      <c r="Z39" s="50" t="s">
        <v>417</v>
      </c>
    </row>
    <row r="40" ht="13.5" customHeight="1">
      <c r="K40" s="50" t="s">
        <v>188</v>
      </c>
      <c r="L40" s="50" t="s">
        <v>561</v>
      </c>
      <c r="M40" s="50" t="s">
        <v>543</v>
      </c>
      <c r="N40" s="50" t="s">
        <v>565</v>
      </c>
      <c r="O40" s="50" t="s">
        <v>619</v>
      </c>
      <c r="P40" s="50" t="s">
        <v>186</v>
      </c>
      <c r="X40" s="50" t="s">
        <v>164</v>
      </c>
      <c r="Y40" s="50" t="s">
        <v>68</v>
      </c>
      <c r="Z40" s="50" t="s">
        <v>421</v>
      </c>
    </row>
    <row r="41" ht="13.5" customHeight="1">
      <c r="K41" s="50" t="s">
        <v>154</v>
      </c>
      <c r="L41" s="50" t="s">
        <v>561</v>
      </c>
      <c r="M41" s="50" t="s">
        <v>267</v>
      </c>
      <c r="N41" s="50" t="s">
        <v>620</v>
      </c>
      <c r="O41" s="50" t="s">
        <v>621</v>
      </c>
      <c r="P41" s="50" t="s">
        <v>152</v>
      </c>
      <c r="X41" s="50" t="s">
        <v>164</v>
      </c>
      <c r="Y41" s="50" t="s">
        <v>68</v>
      </c>
      <c r="Z41" s="50" t="s">
        <v>423</v>
      </c>
    </row>
    <row r="42" ht="13.5" customHeight="1">
      <c r="K42" s="50" t="s">
        <v>196</v>
      </c>
      <c r="L42" s="50" t="s">
        <v>561</v>
      </c>
      <c r="M42" s="50" t="s">
        <v>543</v>
      </c>
      <c r="N42" s="50" t="s">
        <v>565</v>
      </c>
      <c r="O42" s="50" t="s">
        <v>622</v>
      </c>
      <c r="P42" s="50" t="s">
        <v>194</v>
      </c>
      <c r="X42" s="50" t="s">
        <v>148</v>
      </c>
      <c r="Y42" s="50" t="s">
        <v>68</v>
      </c>
      <c r="Z42" s="50" t="s">
        <v>425</v>
      </c>
    </row>
    <row r="43" ht="13.5" customHeight="1">
      <c r="K43" s="50" t="s">
        <v>502</v>
      </c>
      <c r="L43" s="50" t="s">
        <v>564</v>
      </c>
      <c r="M43" s="50" t="s">
        <v>543</v>
      </c>
      <c r="N43" s="50" t="s">
        <v>565</v>
      </c>
      <c r="O43" s="50" t="s">
        <v>623</v>
      </c>
      <c r="P43" s="50" t="s">
        <v>500</v>
      </c>
      <c r="X43" s="50" t="s">
        <v>226</v>
      </c>
      <c r="Y43" s="50" t="s">
        <v>338</v>
      </c>
      <c r="Z43" s="50" t="s">
        <v>430</v>
      </c>
    </row>
    <row r="44" ht="13.5" customHeight="1">
      <c r="K44" s="50" t="s">
        <v>508</v>
      </c>
      <c r="L44" s="50" t="s">
        <v>564</v>
      </c>
      <c r="M44" s="50" t="s">
        <v>543</v>
      </c>
      <c r="N44" s="50" t="s">
        <v>565</v>
      </c>
      <c r="O44" s="50" t="s">
        <v>624</v>
      </c>
      <c r="P44" s="50" t="s">
        <v>506</v>
      </c>
      <c r="X44" s="50" t="s">
        <v>226</v>
      </c>
      <c r="Y44" s="50" t="s">
        <v>338</v>
      </c>
      <c r="Z44" s="50" t="s">
        <v>432</v>
      </c>
    </row>
    <row r="45" ht="13.5" customHeight="1">
      <c r="K45" s="50" t="s">
        <v>512</v>
      </c>
      <c r="L45" s="50" t="s">
        <v>564</v>
      </c>
      <c r="M45" s="50" t="s">
        <v>543</v>
      </c>
      <c r="N45" s="50" t="s">
        <v>565</v>
      </c>
      <c r="O45" s="50" t="s">
        <v>625</v>
      </c>
      <c r="P45" s="50" t="s">
        <v>510</v>
      </c>
      <c r="X45" s="50" t="s">
        <v>226</v>
      </c>
      <c r="Y45" s="50" t="s">
        <v>338</v>
      </c>
      <c r="Z45" s="50" t="s">
        <v>435</v>
      </c>
    </row>
    <row r="46" ht="13.5" customHeight="1">
      <c r="K46" s="50" t="s">
        <v>377</v>
      </c>
      <c r="L46" s="50" t="s">
        <v>564</v>
      </c>
      <c r="M46" s="50" t="s">
        <v>543</v>
      </c>
      <c r="N46" s="50" t="s">
        <v>565</v>
      </c>
      <c r="O46" s="50" t="s">
        <v>626</v>
      </c>
      <c r="P46" s="50" t="s">
        <v>374</v>
      </c>
      <c r="X46" s="50" t="s">
        <v>226</v>
      </c>
      <c r="Y46" s="50" t="s">
        <v>338</v>
      </c>
      <c r="Z46" s="50" t="s">
        <v>437</v>
      </c>
    </row>
    <row r="47" ht="13.5" customHeight="1">
      <c r="K47" s="50" t="s">
        <v>627</v>
      </c>
      <c r="L47" s="50" t="s">
        <v>564</v>
      </c>
      <c r="M47" s="50" t="s">
        <v>267</v>
      </c>
      <c r="N47" s="50" t="s">
        <v>565</v>
      </c>
      <c r="O47" s="50" t="s">
        <v>628</v>
      </c>
      <c r="P47" s="50" t="s">
        <v>255</v>
      </c>
      <c r="X47" s="50" t="s">
        <v>226</v>
      </c>
      <c r="Y47" s="50" t="s">
        <v>68</v>
      </c>
      <c r="Z47" s="50" t="s">
        <v>440</v>
      </c>
    </row>
    <row r="48" ht="13.5" customHeight="1">
      <c r="K48" s="50" t="s">
        <v>521</v>
      </c>
      <c r="L48" s="50" t="s">
        <v>564</v>
      </c>
      <c r="M48" s="50" t="s">
        <v>543</v>
      </c>
      <c r="N48" s="50" t="s">
        <v>601</v>
      </c>
      <c r="O48" s="50" t="s">
        <v>629</v>
      </c>
      <c r="P48" s="50" t="s">
        <v>519</v>
      </c>
      <c r="X48" s="50" t="s">
        <v>232</v>
      </c>
      <c r="Y48" s="50" t="s">
        <v>338</v>
      </c>
      <c r="Z48" s="50" t="s">
        <v>443</v>
      </c>
    </row>
    <row r="49" ht="13.5" customHeight="1">
      <c r="K49" s="50" t="s">
        <v>429</v>
      </c>
      <c r="L49" s="50" t="s">
        <v>569</v>
      </c>
      <c r="M49" s="50" t="s">
        <v>543</v>
      </c>
      <c r="N49" s="50" t="s">
        <v>630</v>
      </c>
      <c r="O49" s="50" t="s">
        <v>631</v>
      </c>
      <c r="P49" s="50" t="s">
        <v>632</v>
      </c>
      <c r="X49" s="50" t="s">
        <v>232</v>
      </c>
      <c r="Y49" s="50" t="s">
        <v>338</v>
      </c>
      <c r="Z49" s="50" t="s">
        <v>447</v>
      </c>
    </row>
    <row r="50" ht="13.5" customHeight="1">
      <c r="K50" s="50" t="s">
        <v>434</v>
      </c>
      <c r="L50" s="50" t="s">
        <v>569</v>
      </c>
      <c r="M50" s="50" t="s">
        <v>543</v>
      </c>
      <c r="N50" s="50" t="s">
        <v>630</v>
      </c>
      <c r="O50" s="50" t="s">
        <v>633</v>
      </c>
      <c r="P50" s="50" t="s">
        <v>634</v>
      </c>
      <c r="X50" s="50" t="s">
        <v>232</v>
      </c>
      <c r="Y50" s="50" t="s">
        <v>338</v>
      </c>
      <c r="Z50" s="50" t="s">
        <v>168</v>
      </c>
    </row>
    <row r="51" ht="13.5" customHeight="1">
      <c r="K51" s="50" t="s">
        <v>439</v>
      </c>
      <c r="L51" s="50" t="s">
        <v>569</v>
      </c>
      <c r="M51" s="50" t="s">
        <v>267</v>
      </c>
      <c r="N51" s="50" t="s">
        <v>630</v>
      </c>
      <c r="O51" s="50" t="s">
        <v>635</v>
      </c>
      <c r="P51" s="50" t="s">
        <v>437</v>
      </c>
      <c r="X51" s="50" t="s">
        <v>232</v>
      </c>
      <c r="Y51" s="50" t="s">
        <v>338</v>
      </c>
      <c r="Z51" s="50" t="s">
        <v>112</v>
      </c>
    </row>
    <row r="52" ht="13.5" customHeight="1">
      <c r="K52" s="50" t="s">
        <v>442</v>
      </c>
      <c r="L52" s="50" t="s">
        <v>569</v>
      </c>
      <c r="M52" s="50" t="s">
        <v>267</v>
      </c>
      <c r="N52" s="50" t="s">
        <v>630</v>
      </c>
      <c r="O52" s="50" t="s">
        <v>636</v>
      </c>
      <c r="P52" s="50" t="s">
        <v>440</v>
      </c>
      <c r="X52" s="50" t="s">
        <v>232</v>
      </c>
      <c r="Y52" s="50" t="s">
        <v>338</v>
      </c>
      <c r="Z52" s="50" t="s">
        <v>453</v>
      </c>
    </row>
    <row r="53" ht="13.5" customHeight="1">
      <c r="K53" s="50" t="s">
        <v>445</v>
      </c>
      <c r="L53" s="50" t="s">
        <v>569</v>
      </c>
      <c r="M53" s="50" t="s">
        <v>267</v>
      </c>
      <c r="N53" s="50" t="s">
        <v>630</v>
      </c>
      <c r="O53" s="50" t="s">
        <v>637</v>
      </c>
      <c r="P53" s="50" t="s">
        <v>638</v>
      </c>
      <c r="X53" s="50" t="s">
        <v>232</v>
      </c>
      <c r="Y53" s="50" t="s">
        <v>338</v>
      </c>
      <c r="Z53" s="50" t="s">
        <v>456</v>
      </c>
    </row>
    <row r="54" ht="13.5" customHeight="1">
      <c r="K54" s="50" t="s">
        <v>467</v>
      </c>
      <c r="L54" s="50" t="s">
        <v>571</v>
      </c>
      <c r="M54" s="50" t="s">
        <v>639</v>
      </c>
      <c r="N54" s="50" t="s">
        <v>565</v>
      </c>
      <c r="O54" s="50" t="s">
        <v>640</v>
      </c>
      <c r="P54" s="50" t="s">
        <v>465</v>
      </c>
      <c r="X54" s="50" t="s">
        <v>148</v>
      </c>
      <c r="Y54" s="50" t="s">
        <v>338</v>
      </c>
      <c r="Z54" s="50" t="s">
        <v>459</v>
      </c>
    </row>
    <row r="55" ht="13.5" customHeight="1">
      <c r="K55" s="50" t="s">
        <v>470</v>
      </c>
      <c r="L55" s="50" t="s">
        <v>571</v>
      </c>
      <c r="M55" s="50" t="s">
        <v>639</v>
      </c>
      <c r="N55" s="50" t="s">
        <v>601</v>
      </c>
      <c r="O55" s="50" t="s">
        <v>641</v>
      </c>
      <c r="P55" s="50" t="s">
        <v>468</v>
      </c>
      <c r="X55" s="50" t="s">
        <v>232</v>
      </c>
      <c r="Y55" s="50" t="s">
        <v>338</v>
      </c>
      <c r="Z55" s="50" t="s">
        <v>462</v>
      </c>
    </row>
    <row r="56" ht="13.5" customHeight="1">
      <c r="K56" s="50" t="s">
        <v>473</v>
      </c>
      <c r="L56" s="50" t="s">
        <v>571</v>
      </c>
      <c r="M56" s="50" t="s">
        <v>639</v>
      </c>
      <c r="N56" s="50" t="s">
        <v>562</v>
      </c>
      <c r="O56" s="50" t="s">
        <v>642</v>
      </c>
      <c r="P56" s="50" t="s">
        <v>471</v>
      </c>
      <c r="X56" s="50" t="s">
        <v>148</v>
      </c>
      <c r="Y56" s="50" t="s">
        <v>568</v>
      </c>
      <c r="Z56" s="50" t="s">
        <v>465</v>
      </c>
    </row>
    <row r="57" ht="13.5" customHeight="1">
      <c r="K57" s="50" t="s">
        <v>394</v>
      </c>
      <c r="L57" s="50" t="s">
        <v>571</v>
      </c>
      <c r="M57" s="50" t="s">
        <v>639</v>
      </c>
      <c r="N57" s="50" t="s">
        <v>562</v>
      </c>
      <c r="O57" s="50" t="s">
        <v>643</v>
      </c>
      <c r="P57" s="50" t="s">
        <v>392</v>
      </c>
      <c r="X57" s="50" t="s">
        <v>148</v>
      </c>
      <c r="Y57" s="50" t="s">
        <v>338</v>
      </c>
      <c r="Z57" s="50" t="s">
        <v>468</v>
      </c>
    </row>
    <row r="58" ht="13.5" customHeight="1">
      <c r="K58" s="50" t="s">
        <v>644</v>
      </c>
      <c r="L58" s="50" t="s">
        <v>573</v>
      </c>
      <c r="M58" s="50" t="s">
        <v>267</v>
      </c>
      <c r="N58" s="50" t="s">
        <v>544</v>
      </c>
      <c r="O58" s="50" t="s">
        <v>645</v>
      </c>
      <c r="P58" s="50"/>
      <c r="X58" s="50" t="s">
        <v>232</v>
      </c>
      <c r="Y58" s="50" t="s">
        <v>292</v>
      </c>
      <c r="Z58" s="50" t="s">
        <v>471</v>
      </c>
    </row>
    <row r="59" ht="13.5" customHeight="1">
      <c r="K59" s="50" t="s">
        <v>96</v>
      </c>
      <c r="L59" s="50" t="s">
        <v>573</v>
      </c>
      <c r="M59" s="50" t="s">
        <v>267</v>
      </c>
      <c r="N59" s="50" t="s">
        <v>646</v>
      </c>
      <c r="O59" s="50" t="s">
        <v>647</v>
      </c>
      <c r="P59" s="50"/>
      <c r="X59" s="50" t="s">
        <v>232</v>
      </c>
      <c r="Y59" s="50" t="s">
        <v>292</v>
      </c>
      <c r="Z59" s="50" t="s">
        <v>474</v>
      </c>
    </row>
    <row r="60" ht="13.5" customHeight="1">
      <c r="K60" s="50" t="s">
        <v>648</v>
      </c>
      <c r="L60" s="50" t="s">
        <v>573</v>
      </c>
      <c r="M60" s="50" t="s">
        <v>267</v>
      </c>
      <c r="N60" s="50" t="s">
        <v>630</v>
      </c>
      <c r="O60" s="50" t="s">
        <v>649</v>
      </c>
      <c r="P60" s="50"/>
      <c r="X60" s="50" t="s">
        <v>232</v>
      </c>
      <c r="Y60" s="50" t="s">
        <v>292</v>
      </c>
      <c r="Z60" s="50" t="s">
        <v>477</v>
      </c>
    </row>
    <row r="61" ht="13.5" customHeight="1">
      <c r="K61" s="50" t="s">
        <v>650</v>
      </c>
      <c r="L61" s="50" t="s">
        <v>573</v>
      </c>
      <c r="M61" s="50" t="s">
        <v>543</v>
      </c>
      <c r="N61" s="50" t="s">
        <v>544</v>
      </c>
      <c r="O61" s="50" t="s">
        <v>651</v>
      </c>
      <c r="P61" s="50"/>
      <c r="X61" s="50" t="s">
        <v>232</v>
      </c>
      <c r="Y61" s="50" t="s">
        <v>292</v>
      </c>
      <c r="Z61" s="50" t="s">
        <v>479</v>
      </c>
    </row>
    <row r="62" ht="13.5" customHeight="1">
      <c r="Z62" s="50" t="s">
        <v>239</v>
      </c>
    </row>
    <row r="63" ht="13.5" customHeight="1">
      <c r="Z63" s="50" t="s">
        <v>481</v>
      </c>
    </row>
    <row r="64" ht="13.5" customHeight="1">
      <c r="Z64" s="50" t="s">
        <v>483</v>
      </c>
    </row>
    <row r="65" ht="13.5" customHeight="1">
      <c r="Z65" s="50" t="s">
        <v>485</v>
      </c>
    </row>
    <row r="66" ht="13.5" customHeight="1">
      <c r="Z66" s="50" t="s">
        <v>488</v>
      </c>
    </row>
    <row r="67" ht="13.5" customHeight="1">
      <c r="Z67" s="50" t="s">
        <v>491</v>
      </c>
    </row>
    <row r="68" ht="13.5" customHeight="1">
      <c r="Z68" s="50" t="s">
        <v>494</v>
      </c>
    </row>
    <row r="69" ht="13.5" customHeight="1">
      <c r="Z69" s="50" t="s">
        <v>497</v>
      </c>
    </row>
    <row r="70" ht="13.5" customHeight="1">
      <c r="Z70" s="50" t="s">
        <v>500</v>
      </c>
    </row>
    <row r="71" ht="13.5" customHeight="1">
      <c r="Z71" s="50" t="s">
        <v>503</v>
      </c>
    </row>
    <row r="72" ht="13.5" customHeight="1">
      <c r="Z72" s="50" t="s">
        <v>506</v>
      </c>
    </row>
    <row r="73" ht="13.5" customHeight="1">
      <c r="Z73" s="50" t="s">
        <v>510</v>
      </c>
    </row>
    <row r="74" ht="13.5" customHeight="1">
      <c r="Z74" s="50" t="s">
        <v>513</v>
      </c>
    </row>
    <row r="75" ht="13.5" customHeight="1">
      <c r="Z75" s="50" t="s">
        <v>516</v>
      </c>
    </row>
    <row r="76" ht="13.5" customHeight="1">
      <c r="Z76" s="50" t="s">
        <v>519</v>
      </c>
    </row>
    <row r="77" ht="13.5" customHeight="1">
      <c r="Z77" s="50" t="s">
        <v>522</v>
      </c>
    </row>
    <row r="78" ht="13.5" customHeight="1">
      <c r="Z78" s="50"/>
    </row>
    <row r="79" ht="13.5" customHeight="1">
      <c r="Z79" s="50"/>
    </row>
    <row r="80" ht="13.5" customHeight="1">
      <c r="Z80" s="50"/>
    </row>
    <row r="81" ht="13.5" customHeight="1">
      <c r="Z81" s="50"/>
    </row>
    <row r="82" ht="13.5" customHeight="1">
      <c r="Z82" s="50"/>
    </row>
    <row r="83" ht="13.5" customHeight="1">
      <c r="Z83" s="50"/>
    </row>
    <row r="84" ht="13.5" customHeight="1">
      <c r="Z84" s="50"/>
    </row>
    <row r="85" ht="13.5" customHeight="1">
      <c r="Z85" s="50"/>
    </row>
    <row r="86" ht="13.5" customHeight="1">
      <c r="Z86" s="50"/>
    </row>
    <row r="87" ht="13.5" customHeight="1">
      <c r="Z87" s="50"/>
    </row>
    <row r="88" ht="13.5" customHeight="1">
      <c r="Z88" s="50"/>
    </row>
    <row r="89" ht="13.5" customHeight="1">
      <c r="Z89" s="50"/>
    </row>
    <row r="90" ht="13.5" customHeight="1">
      <c r="Z90" s="50"/>
    </row>
    <row r="91" ht="13.5" customHeight="1">
      <c r="Z91" s="50"/>
    </row>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