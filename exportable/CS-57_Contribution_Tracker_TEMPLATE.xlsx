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y-fix\"/>
    </mc:Choice>
  </mc:AlternateContent>
  <xr:revisionPtr revIDLastSave="0" documentId="13_ncr:1_{14BF42F2-58EA-45C8-A5E1-2F4E74E000E9}" xr6:coauthVersionLast="47" xr6:coauthVersionMax="47" xr10:uidLastSave="{00000000-0000-0000-0000-000000000000}"/>
  <bookViews>
    <workbookView xWindow="-110" yWindow="-110" windowWidth="25820" windowHeight="15500" activeTab="1" xr2:uid="{00000000-000D-0000-FFFF-FFFF00000000}"/>
  </bookViews>
  <sheets>
    <sheet name="Start Here" sheetId="1" r:id="rId1"/>
    <sheet name="Contribution Log" sheetId="2" r:id="rId2"/>
    <sheet name="Dashboard" sheetId="3" r:id="rId3"/>
    <sheet name="Jira Board" sheetId="4" r:id="rId4"/>
    <sheet name="Client Report" sheetId="5" r:id="rId5"/>
    <sheet name="Lists" sheetId="6" r:id="rId6"/>
  </sheets>
  <definedNames>
    <definedName name="_xlnm._FilterDatabase" localSheetId="1" hidden="1">'Contribution Log'!$A$1:$R$601</definedName>
    <definedName name="_xlnm._FilterDatabase" localSheetId="3" hidden="1">'Jira Board'!$B$52:$K$125</definedName>
  </definedNames>
  <calcPr calcId="191029"/>
</workbook>
</file>

<file path=xl/calcChain.xml><?xml version="1.0" encoding="utf-8"?>
<calcChain xmlns="http://schemas.openxmlformats.org/spreadsheetml/2006/main">
  <c r="B10" i="2" l="1"/>
  <c r="E10" i="2"/>
  <c r="K10" i="2"/>
  <c r="L10" i="2"/>
  <c r="M10" i="2"/>
  <c r="B2" i="2"/>
  <c r="E2" i="2"/>
  <c r="K2" i="2"/>
  <c r="L2" i="2"/>
  <c r="M2" i="2"/>
  <c r="B3" i="2"/>
  <c r="E3" i="2"/>
  <c r="K3" i="2"/>
  <c r="L3" i="2"/>
  <c r="M3" i="2"/>
  <c r="B4" i="2"/>
  <c r="E4" i="2"/>
  <c r="K4" i="2"/>
  <c r="L4" i="2"/>
  <c r="M4" i="2"/>
  <c r="V15" i="6"/>
  <c r="V14" i="6"/>
  <c r="U14" i="6"/>
  <c r="V13" i="6"/>
  <c r="U13" i="6"/>
  <c r="V12" i="6"/>
  <c r="U12" i="6"/>
  <c r="V11" i="6"/>
  <c r="U11" i="6"/>
  <c r="V10" i="6"/>
  <c r="U10" i="6"/>
  <c r="V9" i="6"/>
  <c r="U9" i="6"/>
  <c r="V8" i="6"/>
  <c r="U8" i="6"/>
  <c r="V7" i="6"/>
  <c r="U7" i="6"/>
  <c r="V6" i="6"/>
  <c r="U6" i="6"/>
  <c r="V5" i="6"/>
  <c r="U5" i="6"/>
  <c r="V4" i="6"/>
  <c r="U4" i="6"/>
  <c r="V3" i="6"/>
  <c r="U3" i="6"/>
  <c r="V2" i="6"/>
  <c r="U2" i="6"/>
  <c r="E27" i="5"/>
  <c r="D27" i="5"/>
  <c r="C27" i="5"/>
  <c r="B27" i="5"/>
  <c r="E26" i="5"/>
  <c r="D26" i="5"/>
  <c r="C26" i="5"/>
  <c r="B26" i="5"/>
  <c r="E25" i="5"/>
  <c r="D25" i="5"/>
  <c r="C25" i="5"/>
  <c r="B25" i="5"/>
  <c r="E24" i="5"/>
  <c r="D24" i="5"/>
  <c r="C24" i="5"/>
  <c r="B24" i="5"/>
  <c r="E23" i="5"/>
  <c r="D23" i="5"/>
  <c r="C23" i="5"/>
  <c r="B23" i="5"/>
  <c r="E22" i="5"/>
  <c r="D22" i="5"/>
  <c r="C22" i="5"/>
  <c r="B22" i="5"/>
  <c r="E21" i="5"/>
  <c r="D21" i="5"/>
  <c r="C21" i="5"/>
  <c r="B21" i="5"/>
  <c r="G20" i="5"/>
  <c r="F20" i="5"/>
  <c r="E20" i="5"/>
  <c r="D20" i="5"/>
  <c r="C20" i="5"/>
  <c r="B20" i="5"/>
  <c r="G18" i="5"/>
  <c r="F18" i="5"/>
  <c r="E18" i="5"/>
  <c r="G17" i="5"/>
  <c r="F17" i="5"/>
  <c r="E17" i="5"/>
  <c r="G16" i="5"/>
  <c r="F16" i="5"/>
  <c r="E16" i="5"/>
  <c r="G15" i="5"/>
  <c r="F15" i="5"/>
  <c r="E15" i="5"/>
  <c r="G14" i="5"/>
  <c r="F14" i="5"/>
  <c r="E14" i="5"/>
  <c r="C14" i="5"/>
  <c r="G13" i="5"/>
  <c r="F13" i="5"/>
  <c r="E13" i="5"/>
  <c r="C13" i="5"/>
  <c r="G12" i="5"/>
  <c r="F12" i="5"/>
  <c r="E12" i="5"/>
  <c r="C12" i="5"/>
  <c r="G11" i="5"/>
  <c r="F11" i="5"/>
  <c r="E11" i="5"/>
  <c r="C11" i="5"/>
  <c r="G10" i="5"/>
  <c r="F10" i="5"/>
  <c r="E10" i="5"/>
  <c r="C10" i="5"/>
  <c r="C9" i="5"/>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48" i="4"/>
  <c r="J48" i="4"/>
  <c r="B48" i="4"/>
  <c r="K47" i="4"/>
  <c r="J47" i="4"/>
  <c r="B47" i="4"/>
  <c r="K46" i="4"/>
  <c r="J46" i="4"/>
  <c r="B46" i="4"/>
  <c r="K45" i="4"/>
  <c r="J45" i="4"/>
  <c r="B45" i="4"/>
  <c r="K44" i="4"/>
  <c r="J44" i="4"/>
  <c r="B44" i="4"/>
  <c r="K43" i="4"/>
  <c r="J43" i="4"/>
  <c r="B43" i="4"/>
  <c r="K42" i="4"/>
  <c r="J42" i="4"/>
  <c r="B42" i="4"/>
  <c r="K41" i="4"/>
  <c r="J41" i="4"/>
  <c r="B41" i="4"/>
  <c r="K33" i="4"/>
  <c r="J33" i="4"/>
  <c r="K32" i="4"/>
  <c r="J32" i="4"/>
  <c r="K31" i="4"/>
  <c r="J31" i="4"/>
  <c r="K30" i="4"/>
  <c r="J30" i="4"/>
  <c r="K29" i="4"/>
  <c r="J29" i="4"/>
  <c r="K28" i="4"/>
  <c r="J28" i="4"/>
  <c r="K27" i="4"/>
  <c r="J27" i="4"/>
  <c r="K26" i="4"/>
  <c r="J26" i="4"/>
  <c r="G26" i="4"/>
  <c r="F26" i="4"/>
  <c r="E26" i="4"/>
  <c r="D26" i="4"/>
  <c r="K25" i="4"/>
  <c r="J25" i="4"/>
  <c r="G25" i="4"/>
  <c r="F25" i="4"/>
  <c r="E25" i="4"/>
  <c r="D25" i="4"/>
  <c r="C25" i="4"/>
  <c r="K24" i="4"/>
  <c r="J24" i="4"/>
  <c r="F24" i="4"/>
  <c r="E24" i="4"/>
  <c r="D24" i="4"/>
  <c r="G24" i="4" s="1"/>
  <c r="C24" i="4"/>
  <c r="K23" i="4"/>
  <c r="J23" i="4"/>
  <c r="G23" i="4"/>
  <c r="F23" i="4"/>
  <c r="E23" i="4"/>
  <c r="D23" i="4"/>
  <c r="C23" i="4"/>
  <c r="K19" i="4"/>
  <c r="J19" i="4"/>
  <c r="I19" i="4"/>
  <c r="H19" i="4"/>
  <c r="G19" i="4"/>
  <c r="K18" i="4"/>
  <c r="J18" i="4"/>
  <c r="I18" i="4"/>
  <c r="H18" i="4"/>
  <c r="G18" i="4"/>
  <c r="K17" i="4"/>
  <c r="J17" i="4"/>
  <c r="I17" i="4"/>
  <c r="H17" i="4"/>
  <c r="G17" i="4"/>
  <c r="K16" i="4"/>
  <c r="J16" i="4"/>
  <c r="I16" i="4"/>
  <c r="H16" i="4"/>
  <c r="G16" i="4"/>
  <c r="K15" i="4"/>
  <c r="J15" i="4"/>
  <c r="I15" i="4"/>
  <c r="H15" i="4"/>
  <c r="G15" i="4"/>
  <c r="K14" i="4"/>
  <c r="J14" i="4"/>
  <c r="I14" i="4"/>
  <c r="H14" i="4"/>
  <c r="G14" i="4"/>
  <c r="K13" i="4"/>
  <c r="J13" i="4"/>
  <c r="I13" i="4"/>
  <c r="H13" i="4"/>
  <c r="G13" i="4"/>
  <c r="K12" i="4"/>
  <c r="J12" i="4"/>
  <c r="I12" i="4"/>
  <c r="H12" i="4"/>
  <c r="G12" i="4"/>
  <c r="K11" i="4"/>
  <c r="J11" i="4"/>
  <c r="I11" i="4"/>
  <c r="H11" i="4"/>
  <c r="G11" i="4"/>
  <c r="K10" i="4"/>
  <c r="J10" i="4"/>
  <c r="I10" i="4"/>
  <c r="H10" i="4"/>
  <c r="G10" i="4"/>
  <c r="F47" i="3"/>
  <c r="E47" i="3"/>
  <c r="C47" i="3"/>
  <c r="B47" i="3"/>
  <c r="F46" i="3"/>
  <c r="E46" i="3"/>
  <c r="C46" i="3"/>
  <c r="B46" i="3"/>
  <c r="F45" i="3"/>
  <c r="E45" i="3"/>
  <c r="C45" i="3"/>
  <c r="B45" i="3"/>
  <c r="I44" i="3"/>
  <c r="F44" i="3"/>
  <c r="E44" i="3"/>
  <c r="C44" i="3"/>
  <c r="B44" i="3"/>
  <c r="I43" i="3"/>
  <c r="F43" i="3"/>
  <c r="E43" i="3"/>
  <c r="C43" i="3"/>
  <c r="B43" i="3"/>
  <c r="I42" i="3"/>
  <c r="F42" i="3"/>
  <c r="E42" i="3"/>
  <c r="C42" i="3"/>
  <c r="B42" i="3"/>
  <c r="F41" i="3"/>
  <c r="E41" i="3"/>
  <c r="C41" i="3"/>
  <c r="B41" i="3"/>
  <c r="F40" i="3"/>
  <c r="E40" i="3"/>
  <c r="C40" i="3"/>
  <c r="B40" i="3"/>
  <c r="J23" i="3"/>
  <c r="I23" i="3"/>
  <c r="H23" i="3"/>
  <c r="G23" i="3"/>
  <c r="F23" i="3"/>
  <c r="E23" i="3"/>
  <c r="D23" i="3"/>
  <c r="C23" i="3"/>
  <c r="H19" i="3"/>
  <c r="K18" i="3"/>
  <c r="J18" i="3"/>
  <c r="I18" i="3"/>
  <c r="H18" i="3"/>
  <c r="G18" i="3"/>
  <c r="F18" i="3"/>
  <c r="E18" i="3"/>
  <c r="D18" i="3"/>
  <c r="C18" i="3"/>
  <c r="B18" i="3"/>
  <c r="K17" i="3"/>
  <c r="J17" i="3"/>
  <c r="I17" i="3"/>
  <c r="H17" i="3"/>
  <c r="G17" i="3"/>
  <c r="F17" i="3"/>
  <c r="E17" i="3"/>
  <c r="D17" i="3"/>
  <c r="C17" i="3"/>
  <c r="B17" i="3"/>
  <c r="K16" i="3"/>
  <c r="J16" i="3"/>
  <c r="I16" i="3"/>
  <c r="H16" i="3"/>
  <c r="G16" i="3"/>
  <c r="F16" i="3"/>
  <c r="E16" i="3"/>
  <c r="D16" i="3"/>
  <c r="C16" i="3"/>
  <c r="B16" i="3"/>
  <c r="K15" i="3"/>
  <c r="J15" i="3"/>
  <c r="I15" i="3"/>
  <c r="H15" i="3"/>
  <c r="G15" i="3"/>
  <c r="F15" i="3"/>
  <c r="E15" i="3"/>
  <c r="D15" i="3"/>
  <c r="C15" i="3"/>
  <c r="B15" i="3"/>
  <c r="K14" i="3"/>
  <c r="J14" i="3"/>
  <c r="I14" i="3"/>
  <c r="H14" i="3"/>
  <c r="G14" i="3"/>
  <c r="F14" i="3"/>
  <c r="E14" i="3"/>
  <c r="D14" i="3"/>
  <c r="C14" i="3"/>
  <c r="B14" i="3"/>
  <c r="K13" i="3"/>
  <c r="J13" i="3"/>
  <c r="I13" i="3"/>
  <c r="H13" i="3"/>
  <c r="G13" i="3"/>
  <c r="F13" i="3"/>
  <c r="E13" i="3"/>
  <c r="D13" i="3"/>
  <c r="C13" i="3"/>
  <c r="B13" i="3"/>
  <c r="K12" i="3"/>
  <c r="J12" i="3"/>
  <c r="I12" i="3"/>
  <c r="H12" i="3"/>
  <c r="G12" i="3"/>
  <c r="F12" i="3"/>
  <c r="E12" i="3"/>
  <c r="D12" i="3"/>
  <c r="C12" i="3"/>
  <c r="B12" i="3"/>
  <c r="K11" i="3"/>
  <c r="J11" i="3"/>
  <c r="I11" i="3"/>
  <c r="H11" i="3"/>
  <c r="G11" i="3"/>
  <c r="F11" i="3"/>
  <c r="E11" i="3"/>
  <c r="D11" i="3"/>
  <c r="C11" i="3"/>
  <c r="B11" i="3"/>
  <c r="H6" i="3"/>
  <c r="E6" i="3"/>
  <c r="B6" i="3"/>
  <c r="M601" i="2"/>
  <c r="L601" i="2"/>
  <c r="K601" i="2"/>
  <c r="E601" i="2"/>
  <c r="B601" i="2"/>
  <c r="M600" i="2"/>
  <c r="L600" i="2"/>
  <c r="K600" i="2"/>
  <c r="E600" i="2"/>
  <c r="B600" i="2"/>
  <c r="M599" i="2"/>
  <c r="L599" i="2"/>
  <c r="K599" i="2"/>
  <c r="E599" i="2"/>
  <c r="B599" i="2"/>
  <c r="M598" i="2"/>
  <c r="L598" i="2"/>
  <c r="K598" i="2"/>
  <c r="E598" i="2"/>
  <c r="B598" i="2"/>
  <c r="M597" i="2"/>
  <c r="L597" i="2"/>
  <c r="K597" i="2"/>
  <c r="E597" i="2"/>
  <c r="B597" i="2"/>
  <c r="M596" i="2"/>
  <c r="L596" i="2"/>
  <c r="K596" i="2"/>
  <c r="E596" i="2"/>
  <c r="B596" i="2"/>
  <c r="M595" i="2"/>
  <c r="L595" i="2"/>
  <c r="K595" i="2"/>
  <c r="E595" i="2"/>
  <c r="B595" i="2"/>
  <c r="M594" i="2"/>
  <c r="L594" i="2"/>
  <c r="K594" i="2"/>
  <c r="E594" i="2"/>
  <c r="B594" i="2"/>
  <c r="M593" i="2"/>
  <c r="L593" i="2"/>
  <c r="K593" i="2"/>
  <c r="E593" i="2"/>
  <c r="B593" i="2"/>
  <c r="M592" i="2"/>
  <c r="L592" i="2"/>
  <c r="K592" i="2"/>
  <c r="E592" i="2"/>
  <c r="B592" i="2"/>
  <c r="M591" i="2"/>
  <c r="L591" i="2"/>
  <c r="K591" i="2"/>
  <c r="E591" i="2"/>
  <c r="B591" i="2"/>
  <c r="M590" i="2"/>
  <c r="L590" i="2"/>
  <c r="K590" i="2"/>
  <c r="E590" i="2"/>
  <c r="B590" i="2"/>
  <c r="M589" i="2"/>
  <c r="L589" i="2"/>
  <c r="K589" i="2"/>
  <c r="E589" i="2"/>
  <c r="B589" i="2"/>
  <c r="M588" i="2"/>
  <c r="L588" i="2"/>
  <c r="K588" i="2"/>
  <c r="E588" i="2"/>
  <c r="B588" i="2"/>
  <c r="M587" i="2"/>
  <c r="L587" i="2"/>
  <c r="K587" i="2"/>
  <c r="E587" i="2"/>
  <c r="B587" i="2"/>
  <c r="M586" i="2"/>
  <c r="L586" i="2"/>
  <c r="K586" i="2"/>
  <c r="E586" i="2"/>
  <c r="B586" i="2"/>
  <c r="M585" i="2"/>
  <c r="L585" i="2"/>
  <c r="K585" i="2"/>
  <c r="E585" i="2"/>
  <c r="B585" i="2"/>
  <c r="M584" i="2"/>
  <c r="L584" i="2"/>
  <c r="K584" i="2"/>
  <c r="E584" i="2"/>
  <c r="B584" i="2"/>
  <c r="M583" i="2"/>
  <c r="L583" i="2"/>
  <c r="K583" i="2"/>
  <c r="E583" i="2"/>
  <c r="B583" i="2"/>
  <c r="M582" i="2"/>
  <c r="L582" i="2"/>
  <c r="K582" i="2"/>
  <c r="E582" i="2"/>
  <c r="B582" i="2"/>
  <c r="M581" i="2"/>
  <c r="L581" i="2"/>
  <c r="K581" i="2"/>
  <c r="E581" i="2"/>
  <c r="B581" i="2"/>
  <c r="M580" i="2"/>
  <c r="L580" i="2"/>
  <c r="K580" i="2"/>
  <c r="E580" i="2"/>
  <c r="B580" i="2"/>
  <c r="M579" i="2"/>
  <c r="L579" i="2"/>
  <c r="K579" i="2"/>
  <c r="E579" i="2"/>
  <c r="B579" i="2"/>
  <c r="M578" i="2"/>
  <c r="L578" i="2"/>
  <c r="K578" i="2"/>
  <c r="E578" i="2"/>
  <c r="B578" i="2"/>
  <c r="M577" i="2"/>
  <c r="L577" i="2"/>
  <c r="K577" i="2"/>
  <c r="E577" i="2"/>
  <c r="B577" i="2"/>
  <c r="M576" i="2"/>
  <c r="L576" i="2"/>
  <c r="K576" i="2"/>
  <c r="E576" i="2"/>
  <c r="B576" i="2"/>
  <c r="M575" i="2"/>
  <c r="L575" i="2"/>
  <c r="K575" i="2"/>
  <c r="E575" i="2"/>
  <c r="B575" i="2"/>
  <c r="M574" i="2"/>
  <c r="L574" i="2"/>
  <c r="K574" i="2"/>
  <c r="E574" i="2"/>
  <c r="B574" i="2"/>
  <c r="M573" i="2"/>
  <c r="L573" i="2"/>
  <c r="K573" i="2"/>
  <c r="E573" i="2"/>
  <c r="B573" i="2"/>
  <c r="M572" i="2"/>
  <c r="L572" i="2"/>
  <c r="K572" i="2"/>
  <c r="E572" i="2"/>
  <c r="B572" i="2"/>
  <c r="M571" i="2"/>
  <c r="L571" i="2"/>
  <c r="K571" i="2"/>
  <c r="E571" i="2"/>
  <c r="B571" i="2"/>
  <c r="M570" i="2"/>
  <c r="L570" i="2"/>
  <c r="K570" i="2"/>
  <c r="E570" i="2"/>
  <c r="B570" i="2"/>
  <c r="M569" i="2"/>
  <c r="L569" i="2"/>
  <c r="K569" i="2"/>
  <c r="E569" i="2"/>
  <c r="B569" i="2"/>
  <c r="M568" i="2"/>
  <c r="L568" i="2"/>
  <c r="K568" i="2"/>
  <c r="E568" i="2"/>
  <c r="B568" i="2"/>
  <c r="M567" i="2"/>
  <c r="L567" i="2"/>
  <c r="K567" i="2"/>
  <c r="E567" i="2"/>
  <c r="B567" i="2"/>
  <c r="M566" i="2"/>
  <c r="L566" i="2"/>
  <c r="K566" i="2"/>
  <c r="E566" i="2"/>
  <c r="B566" i="2"/>
  <c r="M565" i="2"/>
  <c r="L565" i="2"/>
  <c r="K565" i="2"/>
  <c r="E565" i="2"/>
  <c r="B565" i="2"/>
  <c r="M564" i="2"/>
  <c r="L564" i="2"/>
  <c r="K564" i="2"/>
  <c r="E564" i="2"/>
  <c r="B564" i="2"/>
  <c r="M563" i="2"/>
  <c r="L563" i="2"/>
  <c r="K563" i="2"/>
  <c r="E563" i="2"/>
  <c r="B563" i="2"/>
  <c r="M562" i="2"/>
  <c r="L562" i="2"/>
  <c r="K562" i="2"/>
  <c r="E562" i="2"/>
  <c r="B562" i="2"/>
  <c r="M561" i="2"/>
  <c r="L561" i="2"/>
  <c r="K561" i="2"/>
  <c r="E561" i="2"/>
  <c r="B561" i="2"/>
  <c r="M560" i="2"/>
  <c r="L560" i="2"/>
  <c r="K560" i="2"/>
  <c r="E560" i="2"/>
  <c r="B560" i="2"/>
  <c r="M559" i="2"/>
  <c r="L559" i="2"/>
  <c r="K559" i="2"/>
  <c r="E559" i="2"/>
  <c r="B559" i="2"/>
  <c r="M558" i="2"/>
  <c r="L558" i="2"/>
  <c r="K558" i="2"/>
  <c r="E558" i="2"/>
  <c r="B558" i="2"/>
  <c r="M557" i="2"/>
  <c r="L557" i="2"/>
  <c r="K557" i="2"/>
  <c r="E557" i="2"/>
  <c r="B557" i="2"/>
  <c r="M556" i="2"/>
  <c r="L556" i="2"/>
  <c r="K556" i="2"/>
  <c r="E556" i="2"/>
  <c r="B556" i="2"/>
  <c r="M555" i="2"/>
  <c r="L555" i="2"/>
  <c r="K555" i="2"/>
  <c r="E555" i="2"/>
  <c r="B555" i="2"/>
  <c r="M554" i="2"/>
  <c r="L554" i="2"/>
  <c r="K554" i="2"/>
  <c r="E554" i="2"/>
  <c r="B554" i="2"/>
  <c r="M553" i="2"/>
  <c r="L553" i="2"/>
  <c r="K553" i="2"/>
  <c r="E553" i="2"/>
  <c r="B553" i="2"/>
  <c r="M552" i="2"/>
  <c r="L552" i="2"/>
  <c r="K552" i="2"/>
  <c r="E552" i="2"/>
  <c r="B552" i="2"/>
  <c r="M551" i="2"/>
  <c r="L551" i="2"/>
  <c r="K551" i="2"/>
  <c r="E551" i="2"/>
  <c r="B551" i="2"/>
  <c r="M550" i="2"/>
  <c r="L550" i="2"/>
  <c r="K550" i="2"/>
  <c r="E550" i="2"/>
  <c r="B550" i="2"/>
  <c r="M549" i="2"/>
  <c r="L549" i="2"/>
  <c r="K549" i="2"/>
  <c r="E549" i="2"/>
  <c r="B549" i="2"/>
  <c r="M548" i="2"/>
  <c r="L548" i="2"/>
  <c r="K548" i="2"/>
  <c r="E548" i="2"/>
  <c r="B548" i="2"/>
  <c r="M547" i="2"/>
  <c r="L547" i="2"/>
  <c r="K547" i="2"/>
  <c r="E547" i="2"/>
  <c r="B547" i="2"/>
  <c r="M546" i="2"/>
  <c r="L546" i="2"/>
  <c r="K546" i="2"/>
  <c r="E546" i="2"/>
  <c r="B546" i="2"/>
  <c r="M545" i="2"/>
  <c r="L545" i="2"/>
  <c r="K545" i="2"/>
  <c r="E545" i="2"/>
  <c r="B545" i="2"/>
  <c r="M544" i="2"/>
  <c r="L544" i="2"/>
  <c r="K544" i="2"/>
  <c r="E544" i="2"/>
  <c r="B544" i="2"/>
  <c r="M543" i="2"/>
  <c r="L543" i="2"/>
  <c r="K543" i="2"/>
  <c r="E543" i="2"/>
  <c r="B543" i="2"/>
  <c r="M542" i="2"/>
  <c r="L542" i="2"/>
  <c r="K542" i="2"/>
  <c r="E542" i="2"/>
  <c r="B542" i="2"/>
  <c r="M541" i="2"/>
  <c r="L541" i="2"/>
  <c r="K541" i="2"/>
  <c r="E541" i="2"/>
  <c r="B541" i="2"/>
  <c r="M540" i="2"/>
  <c r="L540" i="2"/>
  <c r="K540" i="2"/>
  <c r="E540" i="2"/>
  <c r="B540" i="2"/>
  <c r="M539" i="2"/>
  <c r="L539" i="2"/>
  <c r="K539" i="2"/>
  <c r="E539" i="2"/>
  <c r="B539" i="2"/>
  <c r="M538" i="2"/>
  <c r="L538" i="2"/>
  <c r="K538" i="2"/>
  <c r="E538" i="2"/>
  <c r="B538" i="2"/>
  <c r="M537" i="2"/>
  <c r="L537" i="2"/>
  <c r="K537" i="2"/>
  <c r="E537" i="2"/>
  <c r="B537" i="2"/>
  <c r="M536" i="2"/>
  <c r="L536" i="2"/>
  <c r="K536" i="2"/>
  <c r="E536" i="2"/>
  <c r="B536" i="2"/>
  <c r="M535" i="2"/>
  <c r="L535" i="2"/>
  <c r="K535" i="2"/>
  <c r="E535" i="2"/>
  <c r="B535" i="2"/>
  <c r="M534" i="2"/>
  <c r="L534" i="2"/>
  <c r="K534" i="2"/>
  <c r="E534" i="2"/>
  <c r="B534" i="2"/>
  <c r="M533" i="2"/>
  <c r="L533" i="2"/>
  <c r="K533" i="2"/>
  <c r="E533" i="2"/>
  <c r="B533" i="2"/>
  <c r="M532" i="2"/>
  <c r="L532" i="2"/>
  <c r="K532" i="2"/>
  <c r="E532" i="2"/>
  <c r="B532" i="2"/>
  <c r="M531" i="2"/>
  <c r="L531" i="2"/>
  <c r="K531" i="2"/>
  <c r="E531" i="2"/>
  <c r="B531" i="2"/>
  <c r="M530" i="2"/>
  <c r="L530" i="2"/>
  <c r="K530" i="2"/>
  <c r="E530" i="2"/>
  <c r="B530" i="2"/>
  <c r="M529" i="2"/>
  <c r="L529" i="2"/>
  <c r="K529" i="2"/>
  <c r="E529" i="2"/>
  <c r="B529" i="2"/>
  <c r="M528" i="2"/>
  <c r="L528" i="2"/>
  <c r="K528" i="2"/>
  <c r="E528" i="2"/>
  <c r="B528" i="2"/>
  <c r="M527" i="2"/>
  <c r="L527" i="2"/>
  <c r="K527" i="2"/>
  <c r="E527" i="2"/>
  <c r="B527" i="2"/>
  <c r="M526" i="2"/>
  <c r="L526" i="2"/>
  <c r="K526" i="2"/>
  <c r="E526" i="2"/>
  <c r="B526" i="2"/>
  <c r="M525" i="2"/>
  <c r="L525" i="2"/>
  <c r="K525" i="2"/>
  <c r="E525" i="2"/>
  <c r="B525" i="2"/>
  <c r="M524" i="2"/>
  <c r="L524" i="2"/>
  <c r="K524" i="2"/>
  <c r="E524" i="2"/>
  <c r="B524" i="2"/>
  <c r="M523" i="2"/>
  <c r="L523" i="2"/>
  <c r="K523" i="2"/>
  <c r="E523" i="2"/>
  <c r="B523" i="2"/>
  <c r="M522" i="2"/>
  <c r="L522" i="2"/>
  <c r="K522" i="2"/>
  <c r="E522" i="2"/>
  <c r="B522" i="2"/>
  <c r="M521" i="2"/>
  <c r="L521" i="2"/>
  <c r="K521" i="2"/>
  <c r="E521" i="2"/>
  <c r="B521" i="2"/>
  <c r="M520" i="2"/>
  <c r="L520" i="2"/>
  <c r="K520" i="2"/>
  <c r="E520" i="2"/>
  <c r="B520" i="2"/>
  <c r="M519" i="2"/>
  <c r="L519" i="2"/>
  <c r="K519" i="2"/>
  <c r="E519" i="2"/>
  <c r="B519" i="2"/>
  <c r="M518" i="2"/>
  <c r="L518" i="2"/>
  <c r="K518" i="2"/>
  <c r="E518" i="2"/>
  <c r="B518" i="2"/>
  <c r="M517" i="2"/>
  <c r="L517" i="2"/>
  <c r="K517" i="2"/>
  <c r="E517" i="2"/>
  <c r="B517" i="2"/>
  <c r="M516" i="2"/>
  <c r="L516" i="2"/>
  <c r="K516" i="2"/>
  <c r="E516" i="2"/>
  <c r="B516" i="2"/>
  <c r="M515" i="2"/>
  <c r="L515" i="2"/>
  <c r="K515" i="2"/>
  <c r="E515" i="2"/>
  <c r="B515" i="2"/>
  <c r="M514" i="2"/>
  <c r="L514" i="2"/>
  <c r="K514" i="2"/>
  <c r="E514" i="2"/>
  <c r="B514" i="2"/>
  <c r="M513" i="2"/>
  <c r="L513" i="2"/>
  <c r="K513" i="2"/>
  <c r="E513" i="2"/>
  <c r="B513" i="2"/>
  <c r="M512" i="2"/>
  <c r="L512" i="2"/>
  <c r="K512" i="2"/>
  <c r="E512" i="2"/>
  <c r="B512" i="2"/>
  <c r="M511" i="2"/>
  <c r="L511" i="2"/>
  <c r="K511" i="2"/>
  <c r="E511" i="2"/>
  <c r="B511" i="2"/>
  <c r="M510" i="2"/>
  <c r="L510" i="2"/>
  <c r="K510" i="2"/>
  <c r="E510" i="2"/>
  <c r="B510" i="2"/>
  <c r="M509" i="2"/>
  <c r="L509" i="2"/>
  <c r="K509" i="2"/>
  <c r="E509" i="2"/>
  <c r="B509" i="2"/>
  <c r="M508" i="2"/>
  <c r="L508" i="2"/>
  <c r="K508" i="2"/>
  <c r="E508" i="2"/>
  <c r="B508" i="2"/>
  <c r="M507" i="2"/>
  <c r="L507" i="2"/>
  <c r="K507" i="2"/>
  <c r="E507" i="2"/>
  <c r="B507" i="2"/>
  <c r="M506" i="2"/>
  <c r="L506" i="2"/>
  <c r="K506" i="2"/>
  <c r="E506" i="2"/>
  <c r="B506" i="2"/>
  <c r="M505" i="2"/>
  <c r="L505" i="2"/>
  <c r="K505" i="2"/>
  <c r="E505" i="2"/>
  <c r="B505" i="2"/>
  <c r="M504" i="2"/>
  <c r="L504" i="2"/>
  <c r="K504" i="2"/>
  <c r="E504" i="2"/>
  <c r="B504" i="2"/>
  <c r="M503" i="2"/>
  <c r="L503" i="2"/>
  <c r="K503" i="2"/>
  <c r="E503" i="2"/>
  <c r="B503" i="2"/>
  <c r="M502" i="2"/>
  <c r="L502" i="2"/>
  <c r="K502" i="2"/>
  <c r="E502" i="2"/>
  <c r="B502" i="2"/>
  <c r="M501" i="2"/>
  <c r="L501" i="2"/>
  <c r="K501" i="2"/>
  <c r="E501" i="2"/>
  <c r="B501" i="2"/>
  <c r="M500" i="2"/>
  <c r="L500" i="2"/>
  <c r="K500" i="2"/>
  <c r="E500" i="2"/>
  <c r="B500" i="2"/>
  <c r="M499" i="2"/>
  <c r="L499" i="2"/>
  <c r="K499" i="2"/>
  <c r="E499" i="2"/>
  <c r="B499" i="2"/>
  <c r="M498" i="2"/>
  <c r="L498" i="2"/>
  <c r="K498" i="2"/>
  <c r="E498" i="2"/>
  <c r="B498" i="2"/>
  <c r="M497" i="2"/>
  <c r="L497" i="2"/>
  <c r="K497" i="2"/>
  <c r="E497" i="2"/>
  <c r="B497" i="2"/>
  <c r="M496" i="2"/>
  <c r="L496" i="2"/>
  <c r="K496" i="2"/>
  <c r="E496" i="2"/>
  <c r="B496" i="2"/>
  <c r="M495" i="2"/>
  <c r="L495" i="2"/>
  <c r="K495" i="2"/>
  <c r="E495" i="2"/>
  <c r="B495" i="2"/>
  <c r="M494" i="2"/>
  <c r="L494" i="2"/>
  <c r="K494" i="2"/>
  <c r="E494" i="2"/>
  <c r="B494" i="2"/>
  <c r="M493" i="2"/>
  <c r="L493" i="2"/>
  <c r="K493" i="2"/>
  <c r="E493" i="2"/>
  <c r="B493" i="2"/>
  <c r="M492" i="2"/>
  <c r="L492" i="2"/>
  <c r="K492" i="2"/>
  <c r="E492" i="2"/>
  <c r="B492" i="2"/>
  <c r="M491" i="2"/>
  <c r="L491" i="2"/>
  <c r="K491" i="2"/>
  <c r="E491" i="2"/>
  <c r="B491" i="2"/>
  <c r="M490" i="2"/>
  <c r="L490" i="2"/>
  <c r="K490" i="2"/>
  <c r="E490" i="2"/>
  <c r="B490" i="2"/>
  <c r="M489" i="2"/>
  <c r="L489" i="2"/>
  <c r="K489" i="2"/>
  <c r="E489" i="2"/>
  <c r="B489" i="2"/>
  <c r="M488" i="2"/>
  <c r="L488" i="2"/>
  <c r="K488" i="2"/>
  <c r="E488" i="2"/>
  <c r="B488" i="2"/>
  <c r="M487" i="2"/>
  <c r="L487" i="2"/>
  <c r="K487" i="2"/>
  <c r="E487" i="2"/>
  <c r="B487" i="2"/>
  <c r="M486" i="2"/>
  <c r="L486" i="2"/>
  <c r="K486" i="2"/>
  <c r="E486" i="2"/>
  <c r="B486" i="2"/>
  <c r="M485" i="2"/>
  <c r="L485" i="2"/>
  <c r="K485" i="2"/>
  <c r="E485" i="2"/>
  <c r="B485" i="2"/>
  <c r="M484" i="2"/>
  <c r="L484" i="2"/>
  <c r="K484" i="2"/>
  <c r="E484" i="2"/>
  <c r="B484" i="2"/>
  <c r="M483" i="2"/>
  <c r="L483" i="2"/>
  <c r="K483" i="2"/>
  <c r="E483" i="2"/>
  <c r="B483" i="2"/>
  <c r="M482" i="2"/>
  <c r="L482" i="2"/>
  <c r="K482" i="2"/>
  <c r="E482" i="2"/>
  <c r="B482" i="2"/>
  <c r="M481" i="2"/>
  <c r="L481" i="2"/>
  <c r="K481" i="2"/>
  <c r="E481" i="2"/>
  <c r="B481" i="2"/>
  <c r="M480" i="2"/>
  <c r="L480" i="2"/>
  <c r="K480" i="2"/>
  <c r="E480" i="2"/>
  <c r="B480" i="2"/>
  <c r="M479" i="2"/>
  <c r="L479" i="2"/>
  <c r="K479" i="2"/>
  <c r="E479" i="2"/>
  <c r="B479" i="2"/>
  <c r="M478" i="2"/>
  <c r="L478" i="2"/>
  <c r="K478" i="2"/>
  <c r="E478" i="2"/>
  <c r="B478" i="2"/>
  <c r="M477" i="2"/>
  <c r="L477" i="2"/>
  <c r="K477" i="2"/>
  <c r="E477" i="2"/>
  <c r="B477" i="2"/>
  <c r="M476" i="2"/>
  <c r="L476" i="2"/>
  <c r="K476" i="2"/>
  <c r="E476" i="2"/>
  <c r="B476" i="2"/>
  <c r="M475" i="2"/>
  <c r="L475" i="2"/>
  <c r="K475" i="2"/>
  <c r="E475" i="2"/>
  <c r="B475" i="2"/>
  <c r="M474" i="2"/>
  <c r="L474" i="2"/>
  <c r="K474" i="2"/>
  <c r="E474" i="2"/>
  <c r="B474" i="2"/>
  <c r="M473" i="2"/>
  <c r="L473" i="2"/>
  <c r="K473" i="2"/>
  <c r="E473" i="2"/>
  <c r="B473" i="2"/>
  <c r="M472" i="2"/>
  <c r="L472" i="2"/>
  <c r="K472" i="2"/>
  <c r="E472" i="2"/>
  <c r="B472" i="2"/>
  <c r="M471" i="2"/>
  <c r="L471" i="2"/>
  <c r="K471" i="2"/>
  <c r="E471" i="2"/>
  <c r="B471" i="2"/>
  <c r="M470" i="2"/>
  <c r="L470" i="2"/>
  <c r="K470" i="2"/>
  <c r="E470" i="2"/>
  <c r="B470" i="2"/>
  <c r="M469" i="2"/>
  <c r="L469" i="2"/>
  <c r="K469" i="2"/>
  <c r="E469" i="2"/>
  <c r="B469" i="2"/>
  <c r="M468" i="2"/>
  <c r="L468" i="2"/>
  <c r="K468" i="2"/>
  <c r="E468" i="2"/>
  <c r="B468" i="2"/>
  <c r="M467" i="2"/>
  <c r="L467" i="2"/>
  <c r="K467" i="2"/>
  <c r="E467" i="2"/>
  <c r="B467" i="2"/>
  <c r="M466" i="2"/>
  <c r="L466" i="2"/>
  <c r="K466" i="2"/>
  <c r="E466" i="2"/>
  <c r="B466" i="2"/>
  <c r="M465" i="2"/>
  <c r="L465" i="2"/>
  <c r="K465" i="2"/>
  <c r="E465" i="2"/>
  <c r="B465" i="2"/>
  <c r="M464" i="2"/>
  <c r="L464" i="2"/>
  <c r="K464" i="2"/>
  <c r="E464" i="2"/>
  <c r="B464" i="2"/>
  <c r="M463" i="2"/>
  <c r="L463" i="2"/>
  <c r="K463" i="2"/>
  <c r="E463" i="2"/>
  <c r="B463" i="2"/>
  <c r="M462" i="2"/>
  <c r="L462" i="2"/>
  <c r="K462" i="2"/>
  <c r="E462" i="2"/>
  <c r="B462" i="2"/>
  <c r="M461" i="2"/>
  <c r="L461" i="2"/>
  <c r="K461" i="2"/>
  <c r="E461" i="2"/>
  <c r="B461" i="2"/>
  <c r="M460" i="2"/>
  <c r="L460" i="2"/>
  <c r="K460" i="2"/>
  <c r="E460" i="2"/>
  <c r="B460" i="2"/>
  <c r="M459" i="2"/>
  <c r="L459" i="2"/>
  <c r="K459" i="2"/>
  <c r="E459" i="2"/>
  <c r="B459" i="2"/>
  <c r="M458" i="2"/>
  <c r="L458" i="2"/>
  <c r="K458" i="2"/>
  <c r="E458" i="2"/>
  <c r="B458" i="2"/>
  <c r="M457" i="2"/>
  <c r="L457" i="2"/>
  <c r="K457" i="2"/>
  <c r="E457" i="2"/>
  <c r="B457" i="2"/>
  <c r="M456" i="2"/>
  <c r="L456" i="2"/>
  <c r="K456" i="2"/>
  <c r="E456" i="2"/>
  <c r="B456" i="2"/>
  <c r="M455" i="2"/>
  <c r="L455" i="2"/>
  <c r="K455" i="2"/>
  <c r="E455" i="2"/>
  <c r="B455" i="2"/>
  <c r="M454" i="2"/>
  <c r="L454" i="2"/>
  <c r="K454" i="2"/>
  <c r="E454" i="2"/>
  <c r="B454" i="2"/>
  <c r="M453" i="2"/>
  <c r="L453" i="2"/>
  <c r="K453" i="2"/>
  <c r="E453" i="2"/>
  <c r="B453" i="2"/>
  <c r="M452" i="2"/>
  <c r="L452" i="2"/>
  <c r="K452" i="2"/>
  <c r="E452" i="2"/>
  <c r="B452" i="2"/>
  <c r="M451" i="2"/>
  <c r="L451" i="2"/>
  <c r="K451" i="2"/>
  <c r="E451" i="2"/>
  <c r="B451" i="2"/>
  <c r="M450" i="2"/>
  <c r="L450" i="2"/>
  <c r="K450" i="2"/>
  <c r="E450" i="2"/>
  <c r="B450" i="2"/>
  <c r="M449" i="2"/>
  <c r="L449" i="2"/>
  <c r="K449" i="2"/>
  <c r="E449" i="2"/>
  <c r="B449" i="2"/>
  <c r="M448" i="2"/>
  <c r="L448" i="2"/>
  <c r="K448" i="2"/>
  <c r="E448" i="2"/>
  <c r="B448" i="2"/>
  <c r="M447" i="2"/>
  <c r="L447" i="2"/>
  <c r="K447" i="2"/>
  <c r="E447" i="2"/>
  <c r="B447" i="2"/>
  <c r="M446" i="2"/>
  <c r="L446" i="2"/>
  <c r="K446" i="2"/>
  <c r="E446" i="2"/>
  <c r="B446" i="2"/>
  <c r="M445" i="2"/>
  <c r="L445" i="2"/>
  <c r="K445" i="2"/>
  <c r="E445" i="2"/>
  <c r="B445" i="2"/>
  <c r="M444" i="2"/>
  <c r="L444" i="2"/>
  <c r="K444" i="2"/>
  <c r="E444" i="2"/>
  <c r="B444" i="2"/>
  <c r="M443" i="2"/>
  <c r="L443" i="2"/>
  <c r="K443" i="2"/>
  <c r="E443" i="2"/>
  <c r="B443" i="2"/>
  <c r="M442" i="2"/>
  <c r="L442" i="2"/>
  <c r="K442" i="2"/>
  <c r="E442" i="2"/>
  <c r="B442" i="2"/>
  <c r="M441" i="2"/>
  <c r="L441" i="2"/>
  <c r="K441" i="2"/>
  <c r="E441" i="2"/>
  <c r="B441" i="2"/>
  <c r="M440" i="2"/>
  <c r="L440" i="2"/>
  <c r="K440" i="2"/>
  <c r="E440" i="2"/>
  <c r="B440" i="2"/>
  <c r="M439" i="2"/>
  <c r="L439" i="2"/>
  <c r="K439" i="2"/>
  <c r="E439" i="2"/>
  <c r="B439" i="2"/>
  <c r="M438" i="2"/>
  <c r="L438" i="2"/>
  <c r="K438" i="2"/>
  <c r="E438" i="2"/>
  <c r="B438" i="2"/>
  <c r="M437" i="2"/>
  <c r="L437" i="2"/>
  <c r="K437" i="2"/>
  <c r="E437" i="2"/>
  <c r="B437" i="2"/>
  <c r="M436" i="2"/>
  <c r="L436" i="2"/>
  <c r="K436" i="2"/>
  <c r="E436" i="2"/>
  <c r="B436" i="2"/>
  <c r="M435" i="2"/>
  <c r="L435" i="2"/>
  <c r="K435" i="2"/>
  <c r="E435" i="2"/>
  <c r="B435" i="2"/>
  <c r="M434" i="2"/>
  <c r="L434" i="2"/>
  <c r="K434" i="2"/>
  <c r="E434" i="2"/>
  <c r="B434" i="2"/>
  <c r="M433" i="2"/>
  <c r="L433" i="2"/>
  <c r="K433" i="2"/>
  <c r="E433" i="2"/>
  <c r="B433" i="2"/>
  <c r="M432" i="2"/>
  <c r="L432" i="2"/>
  <c r="K432" i="2"/>
  <c r="E432" i="2"/>
  <c r="B432" i="2"/>
  <c r="M431" i="2"/>
  <c r="L431" i="2"/>
  <c r="K431" i="2"/>
  <c r="E431" i="2"/>
  <c r="B431" i="2"/>
  <c r="M430" i="2"/>
  <c r="L430" i="2"/>
  <c r="K430" i="2"/>
  <c r="E430" i="2"/>
  <c r="B430" i="2"/>
  <c r="M429" i="2"/>
  <c r="L429" i="2"/>
  <c r="K429" i="2"/>
  <c r="E429" i="2"/>
  <c r="B429" i="2"/>
  <c r="M428" i="2"/>
  <c r="L428" i="2"/>
  <c r="K428" i="2"/>
  <c r="E428" i="2"/>
  <c r="B428" i="2"/>
  <c r="M427" i="2"/>
  <c r="L427" i="2"/>
  <c r="K427" i="2"/>
  <c r="E427" i="2"/>
  <c r="B427" i="2"/>
  <c r="M426" i="2"/>
  <c r="L426" i="2"/>
  <c r="K426" i="2"/>
  <c r="E426" i="2"/>
  <c r="B426" i="2"/>
  <c r="M425" i="2"/>
  <c r="L425" i="2"/>
  <c r="K425" i="2"/>
  <c r="E425" i="2"/>
  <c r="B425" i="2"/>
  <c r="M424" i="2"/>
  <c r="L424" i="2"/>
  <c r="K424" i="2"/>
  <c r="E424" i="2"/>
  <c r="B424" i="2"/>
  <c r="M423" i="2"/>
  <c r="L423" i="2"/>
  <c r="K423" i="2"/>
  <c r="E423" i="2"/>
  <c r="B423" i="2"/>
  <c r="M422" i="2"/>
  <c r="L422" i="2"/>
  <c r="K422" i="2"/>
  <c r="E422" i="2"/>
  <c r="B422" i="2"/>
  <c r="M421" i="2"/>
  <c r="L421" i="2"/>
  <c r="K421" i="2"/>
  <c r="E421" i="2"/>
  <c r="B421" i="2"/>
  <c r="M420" i="2"/>
  <c r="L420" i="2"/>
  <c r="K420" i="2"/>
  <c r="E420" i="2"/>
  <c r="B420" i="2"/>
  <c r="M419" i="2"/>
  <c r="L419" i="2"/>
  <c r="K419" i="2"/>
  <c r="E419" i="2"/>
  <c r="B419" i="2"/>
  <c r="M418" i="2"/>
  <c r="L418" i="2"/>
  <c r="K418" i="2"/>
  <c r="E418" i="2"/>
  <c r="B418" i="2"/>
  <c r="M417" i="2"/>
  <c r="L417" i="2"/>
  <c r="K417" i="2"/>
  <c r="E417" i="2"/>
  <c r="B417" i="2"/>
  <c r="M416" i="2"/>
  <c r="L416" i="2"/>
  <c r="K416" i="2"/>
  <c r="E416" i="2"/>
  <c r="B416" i="2"/>
  <c r="M415" i="2"/>
  <c r="L415" i="2"/>
  <c r="K415" i="2"/>
  <c r="E415" i="2"/>
  <c r="B415" i="2"/>
  <c r="M414" i="2"/>
  <c r="L414" i="2"/>
  <c r="K414" i="2"/>
  <c r="E414" i="2"/>
  <c r="B414" i="2"/>
  <c r="M413" i="2"/>
  <c r="L413" i="2"/>
  <c r="K413" i="2"/>
  <c r="E413" i="2"/>
  <c r="B413" i="2"/>
  <c r="M412" i="2"/>
  <c r="L412" i="2"/>
  <c r="K412" i="2"/>
  <c r="E412" i="2"/>
  <c r="B412" i="2"/>
  <c r="M411" i="2"/>
  <c r="L411" i="2"/>
  <c r="K411" i="2"/>
  <c r="E411" i="2"/>
  <c r="B411" i="2"/>
  <c r="M410" i="2"/>
  <c r="L410" i="2"/>
  <c r="K410" i="2"/>
  <c r="E410" i="2"/>
  <c r="B410" i="2"/>
  <c r="M409" i="2"/>
  <c r="L409" i="2"/>
  <c r="K409" i="2"/>
  <c r="E409" i="2"/>
  <c r="B409" i="2"/>
  <c r="M408" i="2"/>
  <c r="L408" i="2"/>
  <c r="K408" i="2"/>
  <c r="E408" i="2"/>
  <c r="B408" i="2"/>
  <c r="M407" i="2"/>
  <c r="L407" i="2"/>
  <c r="K407" i="2"/>
  <c r="E407" i="2"/>
  <c r="B407" i="2"/>
  <c r="M406" i="2"/>
  <c r="L406" i="2"/>
  <c r="K406" i="2"/>
  <c r="E406" i="2"/>
  <c r="B406" i="2"/>
  <c r="M405" i="2"/>
  <c r="L405" i="2"/>
  <c r="K405" i="2"/>
  <c r="E405" i="2"/>
  <c r="B405" i="2"/>
  <c r="M404" i="2"/>
  <c r="L404" i="2"/>
  <c r="K404" i="2"/>
  <c r="E404" i="2"/>
  <c r="B404" i="2"/>
  <c r="M403" i="2"/>
  <c r="L403" i="2"/>
  <c r="K403" i="2"/>
  <c r="E403" i="2"/>
  <c r="B403" i="2"/>
  <c r="M402" i="2"/>
  <c r="L402" i="2"/>
  <c r="K402" i="2"/>
  <c r="E402" i="2"/>
  <c r="B402" i="2"/>
  <c r="M401" i="2"/>
  <c r="L401" i="2"/>
  <c r="K401" i="2"/>
  <c r="E401" i="2"/>
  <c r="B401" i="2"/>
  <c r="M400" i="2"/>
  <c r="L400" i="2"/>
  <c r="K400" i="2"/>
  <c r="E400" i="2"/>
  <c r="B400" i="2"/>
  <c r="M399" i="2"/>
  <c r="L399" i="2"/>
  <c r="K399" i="2"/>
  <c r="E399" i="2"/>
  <c r="B399" i="2"/>
  <c r="M398" i="2"/>
  <c r="L398" i="2"/>
  <c r="K398" i="2"/>
  <c r="E398" i="2"/>
  <c r="B398" i="2"/>
  <c r="M397" i="2"/>
  <c r="L397" i="2"/>
  <c r="K397" i="2"/>
  <c r="E397" i="2"/>
  <c r="B397" i="2"/>
  <c r="M396" i="2"/>
  <c r="L396" i="2"/>
  <c r="K396" i="2"/>
  <c r="E396" i="2"/>
  <c r="B396" i="2"/>
  <c r="M395" i="2"/>
  <c r="L395" i="2"/>
  <c r="K395" i="2"/>
  <c r="E395" i="2"/>
  <c r="B395" i="2"/>
  <c r="M394" i="2"/>
  <c r="L394" i="2"/>
  <c r="K394" i="2"/>
  <c r="E394" i="2"/>
  <c r="B394" i="2"/>
  <c r="M393" i="2"/>
  <c r="L393" i="2"/>
  <c r="K393" i="2"/>
  <c r="E393" i="2"/>
  <c r="B393" i="2"/>
  <c r="M392" i="2"/>
  <c r="L392" i="2"/>
  <c r="K392" i="2"/>
  <c r="E392" i="2"/>
  <c r="B392" i="2"/>
  <c r="M391" i="2"/>
  <c r="L391" i="2"/>
  <c r="K391" i="2"/>
  <c r="E391" i="2"/>
  <c r="B391" i="2"/>
  <c r="M390" i="2"/>
  <c r="L390" i="2"/>
  <c r="K390" i="2"/>
  <c r="E390" i="2"/>
  <c r="B390" i="2"/>
  <c r="M389" i="2"/>
  <c r="L389" i="2"/>
  <c r="K389" i="2"/>
  <c r="E389" i="2"/>
  <c r="B389" i="2"/>
  <c r="M388" i="2"/>
  <c r="L388" i="2"/>
  <c r="K388" i="2"/>
  <c r="E388" i="2"/>
  <c r="B388" i="2"/>
  <c r="M387" i="2"/>
  <c r="L387" i="2"/>
  <c r="K387" i="2"/>
  <c r="E387" i="2"/>
  <c r="B387" i="2"/>
  <c r="M386" i="2"/>
  <c r="L386" i="2"/>
  <c r="K386" i="2"/>
  <c r="E386" i="2"/>
  <c r="B386" i="2"/>
  <c r="M385" i="2"/>
  <c r="L385" i="2"/>
  <c r="K385" i="2"/>
  <c r="E385" i="2"/>
  <c r="B385" i="2"/>
  <c r="M384" i="2"/>
  <c r="L384" i="2"/>
  <c r="K384" i="2"/>
  <c r="E384" i="2"/>
  <c r="B384" i="2"/>
  <c r="M383" i="2"/>
  <c r="L383" i="2"/>
  <c r="K383" i="2"/>
  <c r="E383" i="2"/>
  <c r="B383" i="2"/>
  <c r="M382" i="2"/>
  <c r="L382" i="2"/>
  <c r="K382" i="2"/>
  <c r="E382" i="2"/>
  <c r="B382" i="2"/>
  <c r="M381" i="2"/>
  <c r="L381" i="2"/>
  <c r="K381" i="2"/>
  <c r="E381" i="2"/>
  <c r="B381" i="2"/>
  <c r="M380" i="2"/>
  <c r="L380" i="2"/>
  <c r="K380" i="2"/>
  <c r="E380" i="2"/>
  <c r="B380" i="2"/>
  <c r="M379" i="2"/>
  <c r="L379" i="2"/>
  <c r="K379" i="2"/>
  <c r="E379" i="2"/>
  <c r="B379" i="2"/>
  <c r="M378" i="2"/>
  <c r="L378" i="2"/>
  <c r="K378" i="2"/>
  <c r="E378" i="2"/>
  <c r="B378" i="2"/>
  <c r="M377" i="2"/>
  <c r="L377" i="2"/>
  <c r="K377" i="2"/>
  <c r="E377" i="2"/>
  <c r="B377" i="2"/>
  <c r="M376" i="2"/>
  <c r="L376" i="2"/>
  <c r="K376" i="2"/>
  <c r="E376" i="2"/>
  <c r="B376" i="2"/>
  <c r="M375" i="2"/>
  <c r="L375" i="2"/>
  <c r="K375" i="2"/>
  <c r="E375" i="2"/>
  <c r="B375" i="2"/>
  <c r="M374" i="2"/>
  <c r="L374" i="2"/>
  <c r="K374" i="2"/>
  <c r="E374" i="2"/>
  <c r="B374" i="2"/>
  <c r="M373" i="2"/>
  <c r="L373" i="2"/>
  <c r="K373" i="2"/>
  <c r="E373" i="2"/>
  <c r="B373" i="2"/>
  <c r="M372" i="2"/>
  <c r="L372" i="2"/>
  <c r="K372" i="2"/>
  <c r="E372" i="2"/>
  <c r="B372" i="2"/>
  <c r="M371" i="2"/>
  <c r="L371" i="2"/>
  <c r="K371" i="2"/>
  <c r="E371" i="2"/>
  <c r="B371" i="2"/>
  <c r="M370" i="2"/>
  <c r="L370" i="2"/>
  <c r="K370" i="2"/>
  <c r="E370" i="2"/>
  <c r="B370" i="2"/>
  <c r="M369" i="2"/>
  <c r="L369" i="2"/>
  <c r="K369" i="2"/>
  <c r="E369" i="2"/>
  <c r="B369" i="2"/>
  <c r="M368" i="2"/>
  <c r="L368" i="2"/>
  <c r="K368" i="2"/>
  <c r="E368" i="2"/>
  <c r="B368" i="2"/>
  <c r="M367" i="2"/>
  <c r="L367" i="2"/>
  <c r="K367" i="2"/>
  <c r="E367" i="2"/>
  <c r="B367" i="2"/>
  <c r="M366" i="2"/>
  <c r="L366" i="2"/>
  <c r="K366" i="2"/>
  <c r="E366" i="2"/>
  <c r="B366" i="2"/>
  <c r="M365" i="2"/>
  <c r="L365" i="2"/>
  <c r="K365" i="2"/>
  <c r="E365" i="2"/>
  <c r="B365" i="2"/>
  <c r="M364" i="2"/>
  <c r="L364" i="2"/>
  <c r="K364" i="2"/>
  <c r="E364" i="2"/>
  <c r="B364" i="2"/>
  <c r="M363" i="2"/>
  <c r="L363" i="2"/>
  <c r="K363" i="2"/>
  <c r="E363" i="2"/>
  <c r="B363" i="2"/>
  <c r="M362" i="2"/>
  <c r="L362" i="2"/>
  <c r="K362" i="2"/>
  <c r="E362" i="2"/>
  <c r="B362" i="2"/>
  <c r="M361" i="2"/>
  <c r="L361" i="2"/>
  <c r="K361" i="2"/>
  <c r="E361" i="2"/>
  <c r="B361" i="2"/>
  <c r="M360" i="2"/>
  <c r="L360" i="2"/>
  <c r="K360" i="2"/>
  <c r="E360" i="2"/>
  <c r="B360" i="2"/>
  <c r="M359" i="2"/>
  <c r="L359" i="2"/>
  <c r="K359" i="2"/>
  <c r="E359" i="2"/>
  <c r="B359" i="2"/>
  <c r="M358" i="2"/>
  <c r="L358" i="2"/>
  <c r="K358" i="2"/>
  <c r="E358" i="2"/>
  <c r="B358" i="2"/>
  <c r="M357" i="2"/>
  <c r="L357" i="2"/>
  <c r="K357" i="2"/>
  <c r="E357" i="2"/>
  <c r="B357" i="2"/>
  <c r="M356" i="2"/>
  <c r="L356" i="2"/>
  <c r="K356" i="2"/>
  <c r="E356" i="2"/>
  <c r="B356" i="2"/>
  <c r="M355" i="2"/>
  <c r="L355" i="2"/>
  <c r="K355" i="2"/>
  <c r="E355" i="2"/>
  <c r="B355" i="2"/>
  <c r="M354" i="2"/>
  <c r="L354" i="2"/>
  <c r="K354" i="2"/>
  <c r="E354" i="2"/>
  <c r="B354" i="2"/>
  <c r="M353" i="2"/>
  <c r="L353" i="2"/>
  <c r="K353" i="2"/>
  <c r="E353" i="2"/>
  <c r="B353" i="2"/>
  <c r="M352" i="2"/>
  <c r="L352" i="2"/>
  <c r="K352" i="2"/>
  <c r="E352" i="2"/>
  <c r="B352" i="2"/>
  <c r="M351" i="2"/>
  <c r="L351" i="2"/>
  <c r="K351" i="2"/>
  <c r="E351" i="2"/>
  <c r="B351" i="2"/>
  <c r="M350" i="2"/>
  <c r="L350" i="2"/>
  <c r="K350" i="2"/>
  <c r="E350" i="2"/>
  <c r="B350" i="2"/>
  <c r="M349" i="2"/>
  <c r="L349" i="2"/>
  <c r="K349" i="2"/>
  <c r="E349" i="2"/>
  <c r="B349" i="2"/>
  <c r="M348" i="2"/>
  <c r="L348" i="2"/>
  <c r="K348" i="2"/>
  <c r="E348" i="2"/>
  <c r="B348" i="2"/>
  <c r="M347" i="2"/>
  <c r="L347" i="2"/>
  <c r="K347" i="2"/>
  <c r="E347" i="2"/>
  <c r="B347" i="2"/>
  <c r="M346" i="2"/>
  <c r="L346" i="2"/>
  <c r="K346" i="2"/>
  <c r="E346" i="2"/>
  <c r="B346" i="2"/>
  <c r="M345" i="2"/>
  <c r="L345" i="2"/>
  <c r="K345" i="2"/>
  <c r="E345" i="2"/>
  <c r="B345" i="2"/>
  <c r="M344" i="2"/>
  <c r="L344" i="2"/>
  <c r="K344" i="2"/>
  <c r="E344" i="2"/>
  <c r="B344" i="2"/>
  <c r="M343" i="2"/>
  <c r="L343" i="2"/>
  <c r="K343" i="2"/>
  <c r="E343" i="2"/>
  <c r="B343" i="2"/>
  <c r="M342" i="2"/>
  <c r="L342" i="2"/>
  <c r="K342" i="2"/>
  <c r="E342" i="2"/>
  <c r="B342" i="2"/>
  <c r="M341" i="2"/>
  <c r="L341" i="2"/>
  <c r="K341" i="2"/>
  <c r="E341" i="2"/>
  <c r="B341" i="2"/>
  <c r="M340" i="2"/>
  <c r="L340" i="2"/>
  <c r="K340" i="2"/>
  <c r="E340" i="2"/>
  <c r="B340" i="2"/>
  <c r="M339" i="2"/>
  <c r="L339" i="2"/>
  <c r="K339" i="2"/>
  <c r="E339" i="2"/>
  <c r="B339" i="2"/>
  <c r="M338" i="2"/>
  <c r="L338" i="2"/>
  <c r="K338" i="2"/>
  <c r="E338" i="2"/>
  <c r="B338" i="2"/>
  <c r="M337" i="2"/>
  <c r="L337" i="2"/>
  <c r="K337" i="2"/>
  <c r="E337" i="2"/>
  <c r="B337" i="2"/>
  <c r="M336" i="2"/>
  <c r="L336" i="2"/>
  <c r="K336" i="2"/>
  <c r="E336" i="2"/>
  <c r="B336" i="2"/>
  <c r="M335" i="2"/>
  <c r="L335" i="2"/>
  <c r="K335" i="2"/>
  <c r="E335" i="2"/>
  <c r="B335" i="2"/>
  <c r="M334" i="2"/>
  <c r="L334" i="2"/>
  <c r="K334" i="2"/>
  <c r="E334" i="2"/>
  <c r="B334" i="2"/>
  <c r="M333" i="2"/>
  <c r="L333" i="2"/>
  <c r="K333" i="2"/>
  <c r="E333" i="2"/>
  <c r="B333" i="2"/>
  <c r="M332" i="2"/>
  <c r="L332" i="2"/>
  <c r="K332" i="2"/>
  <c r="E332" i="2"/>
  <c r="B332" i="2"/>
  <c r="M331" i="2"/>
  <c r="L331" i="2"/>
  <c r="K331" i="2"/>
  <c r="E331" i="2"/>
  <c r="B331" i="2"/>
  <c r="M330" i="2"/>
  <c r="L330" i="2"/>
  <c r="K330" i="2"/>
  <c r="E330" i="2"/>
  <c r="B330" i="2"/>
  <c r="M329" i="2"/>
  <c r="L329" i="2"/>
  <c r="K329" i="2"/>
  <c r="E329" i="2"/>
  <c r="B329" i="2"/>
  <c r="M328" i="2"/>
  <c r="L328" i="2"/>
  <c r="K328" i="2"/>
  <c r="E328" i="2"/>
  <c r="B328" i="2"/>
  <c r="M327" i="2"/>
  <c r="L327" i="2"/>
  <c r="K327" i="2"/>
  <c r="E327" i="2"/>
  <c r="B327" i="2"/>
  <c r="M326" i="2"/>
  <c r="L326" i="2"/>
  <c r="K326" i="2"/>
  <c r="E326" i="2"/>
  <c r="B326" i="2"/>
  <c r="M325" i="2"/>
  <c r="L325" i="2"/>
  <c r="K325" i="2"/>
  <c r="E325" i="2"/>
  <c r="B325" i="2"/>
  <c r="M324" i="2"/>
  <c r="L324" i="2"/>
  <c r="K324" i="2"/>
  <c r="E324" i="2"/>
  <c r="B324" i="2"/>
  <c r="M323" i="2"/>
  <c r="L323" i="2"/>
  <c r="K323" i="2"/>
  <c r="E323" i="2"/>
  <c r="B323" i="2"/>
  <c r="M322" i="2"/>
  <c r="L322" i="2"/>
  <c r="K322" i="2"/>
  <c r="E322" i="2"/>
  <c r="B322" i="2"/>
  <c r="M321" i="2"/>
  <c r="L321" i="2"/>
  <c r="K321" i="2"/>
  <c r="E321" i="2"/>
  <c r="B321" i="2"/>
  <c r="M320" i="2"/>
  <c r="L320" i="2"/>
  <c r="K320" i="2"/>
  <c r="E320" i="2"/>
  <c r="B320" i="2"/>
  <c r="M319" i="2"/>
  <c r="L319" i="2"/>
  <c r="K319" i="2"/>
  <c r="E319" i="2"/>
  <c r="B319" i="2"/>
  <c r="M318" i="2"/>
  <c r="L318" i="2"/>
  <c r="K318" i="2"/>
  <c r="E318" i="2"/>
  <c r="B318" i="2"/>
  <c r="M317" i="2"/>
  <c r="L317" i="2"/>
  <c r="K317" i="2"/>
  <c r="E317" i="2"/>
  <c r="B317" i="2"/>
  <c r="M316" i="2"/>
  <c r="L316" i="2"/>
  <c r="K316" i="2"/>
  <c r="E316" i="2"/>
  <c r="B316" i="2"/>
  <c r="M315" i="2"/>
  <c r="L315" i="2"/>
  <c r="K315" i="2"/>
  <c r="E315" i="2"/>
  <c r="B315" i="2"/>
  <c r="M314" i="2"/>
  <c r="L314" i="2"/>
  <c r="K314" i="2"/>
  <c r="E314" i="2"/>
  <c r="B314" i="2"/>
  <c r="M313" i="2"/>
  <c r="L313" i="2"/>
  <c r="K313" i="2"/>
  <c r="E313" i="2"/>
  <c r="B313" i="2"/>
  <c r="M312" i="2"/>
  <c r="L312" i="2"/>
  <c r="K312" i="2"/>
  <c r="E312" i="2"/>
  <c r="B312" i="2"/>
  <c r="M311" i="2"/>
  <c r="L311" i="2"/>
  <c r="K311" i="2"/>
  <c r="E311" i="2"/>
  <c r="B311" i="2"/>
  <c r="M310" i="2"/>
  <c r="L310" i="2"/>
  <c r="K310" i="2"/>
  <c r="E310" i="2"/>
  <c r="B310" i="2"/>
  <c r="M309" i="2"/>
  <c r="L309" i="2"/>
  <c r="K309" i="2"/>
  <c r="E309" i="2"/>
  <c r="B309" i="2"/>
  <c r="M308" i="2"/>
  <c r="L308" i="2"/>
  <c r="K308" i="2"/>
  <c r="E308" i="2"/>
  <c r="B308" i="2"/>
  <c r="M307" i="2"/>
  <c r="L307" i="2"/>
  <c r="K307" i="2"/>
  <c r="E307" i="2"/>
  <c r="B307" i="2"/>
  <c r="M306" i="2"/>
  <c r="L306" i="2"/>
  <c r="K306" i="2"/>
  <c r="E306" i="2"/>
  <c r="B306" i="2"/>
  <c r="M305" i="2"/>
  <c r="L305" i="2"/>
  <c r="K305" i="2"/>
  <c r="E305" i="2"/>
  <c r="B305" i="2"/>
  <c r="M304" i="2"/>
  <c r="L304" i="2"/>
  <c r="K304" i="2"/>
  <c r="E304" i="2"/>
  <c r="B304" i="2"/>
  <c r="M303" i="2"/>
  <c r="L303" i="2"/>
  <c r="K303" i="2"/>
  <c r="E303" i="2"/>
  <c r="B303" i="2"/>
  <c r="M302" i="2"/>
  <c r="L302" i="2"/>
  <c r="K302" i="2"/>
  <c r="E302" i="2"/>
  <c r="B302" i="2"/>
  <c r="M301" i="2"/>
  <c r="L301" i="2"/>
  <c r="K301" i="2"/>
  <c r="E301" i="2"/>
  <c r="B301" i="2"/>
  <c r="M300" i="2"/>
  <c r="L300" i="2"/>
  <c r="K300" i="2"/>
  <c r="E300" i="2"/>
  <c r="B300" i="2"/>
  <c r="M299" i="2"/>
  <c r="L299" i="2"/>
  <c r="K299" i="2"/>
  <c r="E299" i="2"/>
  <c r="B299" i="2"/>
  <c r="M298" i="2"/>
  <c r="L298" i="2"/>
  <c r="K298" i="2"/>
  <c r="E298" i="2"/>
  <c r="B298" i="2"/>
  <c r="M297" i="2"/>
  <c r="L297" i="2"/>
  <c r="K297" i="2"/>
  <c r="E297" i="2"/>
  <c r="B297" i="2"/>
  <c r="M296" i="2"/>
  <c r="L296" i="2"/>
  <c r="K296" i="2"/>
  <c r="E296" i="2"/>
  <c r="B296" i="2"/>
  <c r="M295" i="2"/>
  <c r="L295" i="2"/>
  <c r="K295" i="2"/>
  <c r="E295" i="2"/>
  <c r="B295" i="2"/>
  <c r="M294" i="2"/>
  <c r="L294" i="2"/>
  <c r="K294" i="2"/>
  <c r="E294" i="2"/>
  <c r="B294" i="2"/>
  <c r="M293" i="2"/>
  <c r="L293" i="2"/>
  <c r="K293" i="2"/>
  <c r="E293" i="2"/>
  <c r="B293" i="2"/>
  <c r="M292" i="2"/>
  <c r="L292" i="2"/>
  <c r="K292" i="2"/>
  <c r="E292" i="2"/>
  <c r="B292" i="2"/>
  <c r="M291" i="2"/>
  <c r="L291" i="2"/>
  <c r="K291" i="2"/>
  <c r="E291" i="2"/>
  <c r="B291" i="2"/>
  <c r="M290" i="2"/>
  <c r="L290" i="2"/>
  <c r="K290" i="2"/>
  <c r="E290" i="2"/>
  <c r="B290" i="2"/>
  <c r="M289" i="2"/>
  <c r="L289" i="2"/>
  <c r="K289" i="2"/>
  <c r="E289" i="2"/>
  <c r="B289" i="2"/>
  <c r="M288" i="2"/>
  <c r="L288" i="2"/>
  <c r="K288" i="2"/>
  <c r="E288" i="2"/>
  <c r="B288" i="2"/>
  <c r="M287" i="2"/>
  <c r="L287" i="2"/>
  <c r="K287" i="2"/>
  <c r="E287" i="2"/>
  <c r="B287" i="2"/>
  <c r="M286" i="2"/>
  <c r="L286" i="2"/>
  <c r="K286" i="2"/>
  <c r="E286" i="2"/>
  <c r="B286" i="2"/>
  <c r="M285" i="2"/>
  <c r="L285" i="2"/>
  <c r="K285" i="2"/>
  <c r="E285" i="2"/>
  <c r="B285" i="2"/>
  <c r="M284" i="2"/>
  <c r="L284" i="2"/>
  <c r="K284" i="2"/>
  <c r="E284" i="2"/>
  <c r="B284" i="2"/>
  <c r="M283" i="2"/>
  <c r="L283" i="2"/>
  <c r="K283" i="2"/>
  <c r="E283" i="2"/>
  <c r="B283" i="2"/>
  <c r="M282" i="2"/>
  <c r="L282" i="2"/>
  <c r="K282" i="2"/>
  <c r="E282" i="2"/>
  <c r="B282" i="2"/>
  <c r="M281" i="2"/>
  <c r="L281" i="2"/>
  <c r="K281" i="2"/>
  <c r="E281" i="2"/>
  <c r="B281" i="2"/>
  <c r="M280" i="2"/>
  <c r="L280" i="2"/>
  <c r="K280" i="2"/>
  <c r="E280" i="2"/>
  <c r="B280" i="2"/>
  <c r="M279" i="2"/>
  <c r="L279" i="2"/>
  <c r="K279" i="2"/>
  <c r="E279" i="2"/>
  <c r="B279" i="2"/>
  <c r="M278" i="2"/>
  <c r="L278" i="2"/>
  <c r="K278" i="2"/>
  <c r="E278" i="2"/>
  <c r="B278" i="2"/>
  <c r="M277" i="2"/>
  <c r="L277" i="2"/>
  <c r="K277" i="2"/>
  <c r="E277" i="2"/>
  <c r="B277" i="2"/>
  <c r="M276" i="2"/>
  <c r="L276" i="2"/>
  <c r="K276" i="2"/>
  <c r="E276" i="2"/>
  <c r="B276" i="2"/>
  <c r="M275" i="2"/>
  <c r="L275" i="2"/>
  <c r="K275" i="2"/>
  <c r="E275" i="2"/>
  <c r="B275" i="2"/>
  <c r="M274" i="2"/>
  <c r="L274" i="2"/>
  <c r="K274" i="2"/>
  <c r="E274" i="2"/>
  <c r="B274" i="2"/>
  <c r="M273" i="2"/>
  <c r="L273" i="2"/>
  <c r="K273" i="2"/>
  <c r="E273" i="2"/>
  <c r="B273" i="2"/>
  <c r="M272" i="2"/>
  <c r="L272" i="2"/>
  <c r="K272" i="2"/>
  <c r="E272" i="2"/>
  <c r="B272" i="2"/>
  <c r="M271" i="2"/>
  <c r="L271" i="2"/>
  <c r="K271" i="2"/>
  <c r="E271" i="2"/>
  <c r="B271" i="2"/>
  <c r="M270" i="2"/>
  <c r="L270" i="2"/>
  <c r="K270" i="2"/>
  <c r="E270" i="2"/>
  <c r="B270" i="2"/>
  <c r="M269" i="2"/>
  <c r="L269" i="2"/>
  <c r="K269" i="2"/>
  <c r="E269" i="2"/>
  <c r="B269" i="2"/>
  <c r="M268" i="2"/>
  <c r="L268" i="2"/>
  <c r="K268" i="2"/>
  <c r="E268" i="2"/>
  <c r="B268" i="2"/>
  <c r="M267" i="2"/>
  <c r="L267" i="2"/>
  <c r="K267" i="2"/>
  <c r="E267" i="2"/>
  <c r="B267" i="2"/>
  <c r="M266" i="2"/>
  <c r="L266" i="2"/>
  <c r="K266" i="2"/>
  <c r="E266" i="2"/>
  <c r="B266" i="2"/>
  <c r="M265" i="2"/>
  <c r="L265" i="2"/>
  <c r="K265" i="2"/>
  <c r="E265" i="2"/>
  <c r="B265" i="2"/>
  <c r="M264" i="2"/>
  <c r="L264" i="2"/>
  <c r="K264" i="2"/>
  <c r="E264" i="2"/>
  <c r="B264" i="2"/>
  <c r="M263" i="2"/>
  <c r="L263" i="2"/>
  <c r="K263" i="2"/>
  <c r="E263" i="2"/>
  <c r="B263" i="2"/>
  <c r="M262" i="2"/>
  <c r="L262" i="2"/>
  <c r="K262" i="2"/>
  <c r="E262" i="2"/>
  <c r="B262" i="2"/>
  <c r="M261" i="2"/>
  <c r="L261" i="2"/>
  <c r="K261" i="2"/>
  <c r="E261" i="2"/>
  <c r="B261" i="2"/>
  <c r="M260" i="2"/>
  <c r="L260" i="2"/>
  <c r="K260" i="2"/>
  <c r="E260" i="2"/>
  <c r="B260" i="2"/>
  <c r="M259" i="2"/>
  <c r="L259" i="2"/>
  <c r="K259" i="2"/>
  <c r="E259" i="2"/>
  <c r="B259" i="2"/>
  <c r="M258" i="2"/>
  <c r="L258" i="2"/>
  <c r="K258" i="2"/>
  <c r="E258" i="2"/>
  <c r="B258" i="2"/>
  <c r="M257" i="2"/>
  <c r="L257" i="2"/>
  <c r="K257" i="2"/>
  <c r="E257" i="2"/>
  <c r="B257" i="2"/>
  <c r="M256" i="2"/>
  <c r="L256" i="2"/>
  <c r="K256" i="2"/>
  <c r="E256" i="2"/>
  <c r="B256" i="2"/>
  <c r="M255" i="2"/>
  <c r="L255" i="2"/>
  <c r="K255" i="2"/>
  <c r="E255" i="2"/>
  <c r="B255" i="2"/>
  <c r="M254" i="2"/>
  <c r="L254" i="2"/>
  <c r="K254" i="2"/>
  <c r="E254" i="2"/>
  <c r="B254" i="2"/>
  <c r="M253" i="2"/>
  <c r="L253" i="2"/>
  <c r="K253" i="2"/>
  <c r="E253" i="2"/>
  <c r="B253" i="2"/>
  <c r="M252" i="2"/>
  <c r="L252" i="2"/>
  <c r="K252" i="2"/>
  <c r="E252" i="2"/>
  <c r="B252" i="2"/>
  <c r="M251" i="2"/>
  <c r="L251" i="2"/>
  <c r="K251" i="2"/>
  <c r="E251" i="2"/>
  <c r="B251" i="2"/>
  <c r="M250" i="2"/>
  <c r="L250" i="2"/>
  <c r="K250" i="2"/>
  <c r="E250" i="2"/>
  <c r="B250" i="2"/>
  <c r="M249" i="2"/>
  <c r="L249" i="2"/>
  <c r="K249" i="2"/>
  <c r="E249" i="2"/>
  <c r="B249" i="2"/>
  <c r="M248" i="2"/>
  <c r="L248" i="2"/>
  <c r="K248" i="2"/>
  <c r="E248" i="2"/>
  <c r="B248" i="2"/>
  <c r="M247" i="2"/>
  <c r="L247" i="2"/>
  <c r="K247" i="2"/>
  <c r="E247" i="2"/>
  <c r="B247" i="2"/>
  <c r="M246" i="2"/>
  <c r="L246" i="2"/>
  <c r="K246" i="2"/>
  <c r="E246" i="2"/>
  <c r="B246" i="2"/>
  <c r="M245" i="2"/>
  <c r="L245" i="2"/>
  <c r="K245" i="2"/>
  <c r="E245" i="2"/>
  <c r="B245" i="2"/>
  <c r="M244" i="2"/>
  <c r="L244" i="2"/>
  <c r="K244" i="2"/>
  <c r="E244" i="2"/>
  <c r="B244" i="2"/>
  <c r="M243" i="2"/>
  <c r="L243" i="2"/>
  <c r="K243" i="2"/>
  <c r="E243" i="2"/>
  <c r="B243" i="2"/>
  <c r="M242" i="2"/>
  <c r="L242" i="2"/>
  <c r="K242" i="2"/>
  <c r="E242" i="2"/>
  <c r="B242" i="2"/>
  <c r="M241" i="2"/>
  <c r="L241" i="2"/>
  <c r="K241" i="2"/>
  <c r="E241" i="2"/>
  <c r="B241" i="2"/>
  <c r="M240" i="2"/>
  <c r="L240" i="2"/>
  <c r="K240" i="2"/>
  <c r="E240" i="2"/>
  <c r="B240" i="2"/>
  <c r="M239" i="2"/>
  <c r="L239" i="2"/>
  <c r="K239" i="2"/>
  <c r="E239" i="2"/>
  <c r="B239" i="2"/>
  <c r="M238" i="2"/>
  <c r="L238" i="2"/>
  <c r="K238" i="2"/>
  <c r="E238" i="2"/>
  <c r="B238" i="2"/>
  <c r="M237" i="2"/>
  <c r="L237" i="2"/>
  <c r="K237" i="2"/>
  <c r="E237" i="2"/>
  <c r="B237" i="2"/>
  <c r="M236" i="2"/>
  <c r="L236" i="2"/>
  <c r="K236" i="2"/>
  <c r="E236" i="2"/>
  <c r="B236" i="2"/>
  <c r="M235" i="2"/>
  <c r="L235" i="2"/>
  <c r="K235" i="2"/>
  <c r="E235" i="2"/>
  <c r="B235" i="2"/>
  <c r="M234" i="2"/>
  <c r="L234" i="2"/>
  <c r="K234" i="2"/>
  <c r="E234" i="2"/>
  <c r="B234" i="2"/>
  <c r="M233" i="2"/>
  <c r="L233" i="2"/>
  <c r="K233" i="2"/>
  <c r="E233" i="2"/>
  <c r="B233" i="2"/>
  <c r="M232" i="2"/>
  <c r="L232" i="2"/>
  <c r="K232" i="2"/>
  <c r="E232" i="2"/>
  <c r="B232" i="2"/>
  <c r="M231" i="2"/>
  <c r="L231" i="2"/>
  <c r="K231" i="2"/>
  <c r="E231" i="2"/>
  <c r="B231" i="2"/>
  <c r="M230" i="2"/>
  <c r="L230" i="2"/>
  <c r="K230" i="2"/>
  <c r="E230" i="2"/>
  <c r="B230" i="2"/>
  <c r="M229" i="2"/>
  <c r="L229" i="2"/>
  <c r="K229" i="2"/>
  <c r="E229" i="2"/>
  <c r="B229" i="2"/>
  <c r="M228" i="2"/>
  <c r="L228" i="2"/>
  <c r="K228" i="2"/>
  <c r="E228" i="2"/>
  <c r="B228" i="2"/>
  <c r="M227" i="2"/>
  <c r="L227" i="2"/>
  <c r="K227" i="2"/>
  <c r="E227" i="2"/>
  <c r="B227" i="2"/>
  <c r="M226" i="2"/>
  <c r="L226" i="2"/>
  <c r="K226" i="2"/>
  <c r="E226" i="2"/>
  <c r="B226" i="2"/>
  <c r="M225" i="2"/>
  <c r="L225" i="2"/>
  <c r="K225" i="2"/>
  <c r="E225" i="2"/>
  <c r="B225" i="2"/>
  <c r="M224" i="2"/>
  <c r="L224" i="2"/>
  <c r="K224" i="2"/>
  <c r="E224" i="2"/>
  <c r="B224" i="2"/>
  <c r="M223" i="2"/>
  <c r="L223" i="2"/>
  <c r="K223" i="2"/>
  <c r="E223" i="2"/>
  <c r="B223" i="2"/>
  <c r="M222" i="2"/>
  <c r="L222" i="2"/>
  <c r="K222" i="2"/>
  <c r="E222" i="2"/>
  <c r="B222" i="2"/>
  <c r="M221" i="2"/>
  <c r="L221" i="2"/>
  <c r="K221" i="2"/>
  <c r="E221" i="2"/>
  <c r="B221" i="2"/>
  <c r="M220" i="2"/>
  <c r="L220" i="2"/>
  <c r="K220" i="2"/>
  <c r="E220" i="2"/>
  <c r="B220" i="2"/>
  <c r="M219" i="2"/>
  <c r="L219" i="2"/>
  <c r="K219" i="2"/>
  <c r="E219" i="2"/>
  <c r="B219" i="2"/>
  <c r="M218" i="2"/>
  <c r="L218" i="2"/>
  <c r="K218" i="2"/>
  <c r="E218" i="2"/>
  <c r="B218" i="2"/>
  <c r="M217" i="2"/>
  <c r="L217" i="2"/>
  <c r="K217" i="2"/>
  <c r="E217" i="2"/>
  <c r="B217" i="2"/>
  <c r="M216" i="2"/>
  <c r="L216" i="2"/>
  <c r="K216" i="2"/>
  <c r="E216" i="2"/>
  <c r="B216" i="2"/>
  <c r="M215" i="2"/>
  <c r="L215" i="2"/>
  <c r="K215" i="2"/>
  <c r="E215" i="2"/>
  <c r="B215" i="2"/>
  <c r="M214" i="2"/>
  <c r="L214" i="2"/>
  <c r="K214" i="2"/>
  <c r="E214" i="2"/>
  <c r="B214" i="2"/>
  <c r="M213" i="2"/>
  <c r="L213" i="2"/>
  <c r="K213" i="2"/>
  <c r="E213" i="2"/>
  <c r="B213" i="2"/>
  <c r="M212" i="2"/>
  <c r="L212" i="2"/>
  <c r="K212" i="2"/>
  <c r="E212" i="2"/>
  <c r="B212" i="2"/>
  <c r="M211" i="2"/>
  <c r="L211" i="2"/>
  <c r="K211" i="2"/>
  <c r="E211" i="2"/>
  <c r="B211" i="2"/>
  <c r="M210" i="2"/>
  <c r="L210" i="2"/>
  <c r="K210" i="2"/>
  <c r="E210" i="2"/>
  <c r="B210" i="2"/>
  <c r="M209" i="2"/>
  <c r="L209" i="2"/>
  <c r="K209" i="2"/>
  <c r="E209" i="2"/>
  <c r="B209" i="2"/>
  <c r="M208" i="2"/>
  <c r="L208" i="2"/>
  <c r="K208" i="2"/>
  <c r="E208" i="2"/>
  <c r="B208" i="2"/>
  <c r="M207" i="2"/>
  <c r="L207" i="2"/>
  <c r="K207" i="2"/>
  <c r="E207" i="2"/>
  <c r="B207" i="2"/>
  <c r="M206" i="2"/>
  <c r="L206" i="2"/>
  <c r="K206" i="2"/>
  <c r="E206" i="2"/>
  <c r="B206" i="2"/>
  <c r="M205" i="2"/>
  <c r="L205" i="2"/>
  <c r="K205" i="2"/>
  <c r="E205" i="2"/>
  <c r="B205" i="2"/>
  <c r="M204" i="2"/>
  <c r="L204" i="2"/>
  <c r="K204" i="2"/>
  <c r="E204" i="2"/>
  <c r="B204" i="2"/>
  <c r="M203" i="2"/>
  <c r="L203" i="2"/>
  <c r="K203" i="2"/>
  <c r="E203" i="2"/>
  <c r="B203" i="2"/>
  <c r="M202" i="2"/>
  <c r="L202" i="2"/>
  <c r="K202" i="2"/>
  <c r="E202" i="2"/>
  <c r="B202" i="2"/>
  <c r="M201" i="2"/>
  <c r="L201" i="2"/>
  <c r="K201" i="2"/>
  <c r="E201" i="2"/>
  <c r="B201" i="2"/>
  <c r="M200" i="2"/>
  <c r="L200" i="2"/>
  <c r="K200" i="2"/>
  <c r="E200" i="2"/>
  <c r="B200" i="2"/>
  <c r="M199" i="2"/>
  <c r="L199" i="2"/>
  <c r="K199" i="2"/>
  <c r="E199" i="2"/>
  <c r="B199" i="2"/>
  <c r="M198" i="2"/>
  <c r="L198" i="2"/>
  <c r="K198" i="2"/>
  <c r="E198" i="2"/>
  <c r="B198" i="2"/>
  <c r="M197" i="2"/>
  <c r="L197" i="2"/>
  <c r="K197" i="2"/>
  <c r="E197" i="2"/>
  <c r="B197" i="2"/>
  <c r="M196" i="2"/>
  <c r="L196" i="2"/>
  <c r="K196" i="2"/>
  <c r="E196" i="2"/>
  <c r="B196" i="2"/>
  <c r="M195" i="2"/>
  <c r="L195" i="2"/>
  <c r="K195" i="2"/>
  <c r="E195" i="2"/>
  <c r="B195" i="2"/>
  <c r="M194" i="2"/>
  <c r="L194" i="2"/>
  <c r="K194" i="2"/>
  <c r="E194" i="2"/>
  <c r="B194" i="2"/>
  <c r="M193" i="2"/>
  <c r="L193" i="2"/>
  <c r="K193" i="2"/>
  <c r="E193" i="2"/>
  <c r="B193" i="2"/>
  <c r="M192" i="2"/>
  <c r="L192" i="2"/>
  <c r="K192" i="2"/>
  <c r="E192" i="2"/>
  <c r="B192" i="2"/>
  <c r="M191" i="2"/>
  <c r="L191" i="2"/>
  <c r="K191" i="2"/>
  <c r="E191" i="2"/>
  <c r="B191" i="2"/>
  <c r="M190" i="2"/>
  <c r="L190" i="2"/>
  <c r="K190" i="2"/>
  <c r="E190" i="2"/>
  <c r="B190" i="2"/>
  <c r="M189" i="2"/>
  <c r="L189" i="2"/>
  <c r="K189" i="2"/>
  <c r="E189" i="2"/>
  <c r="B189" i="2"/>
  <c r="M188" i="2"/>
  <c r="L188" i="2"/>
  <c r="K188" i="2"/>
  <c r="E188" i="2"/>
  <c r="B188" i="2"/>
  <c r="M187" i="2"/>
  <c r="L187" i="2"/>
  <c r="K187" i="2"/>
  <c r="E187" i="2"/>
  <c r="B187" i="2"/>
  <c r="M186" i="2"/>
  <c r="L186" i="2"/>
  <c r="K186" i="2"/>
  <c r="E186" i="2"/>
  <c r="B186" i="2"/>
  <c r="M185" i="2"/>
  <c r="L185" i="2"/>
  <c r="K185" i="2"/>
  <c r="E185" i="2"/>
  <c r="B185" i="2"/>
  <c r="M184" i="2"/>
  <c r="L184" i="2"/>
  <c r="K184" i="2"/>
  <c r="E184" i="2"/>
  <c r="B184" i="2"/>
  <c r="M183" i="2"/>
  <c r="L183" i="2"/>
  <c r="K183" i="2"/>
  <c r="E183" i="2"/>
  <c r="B183" i="2"/>
  <c r="M182" i="2"/>
  <c r="L182" i="2"/>
  <c r="K182" i="2"/>
  <c r="E182" i="2"/>
  <c r="B182" i="2"/>
  <c r="M181" i="2"/>
  <c r="L181" i="2"/>
  <c r="K181" i="2"/>
  <c r="E181" i="2"/>
  <c r="B181" i="2"/>
  <c r="M180" i="2"/>
  <c r="L180" i="2"/>
  <c r="K180" i="2"/>
  <c r="E180" i="2"/>
  <c r="B180" i="2"/>
  <c r="M179" i="2"/>
  <c r="L179" i="2"/>
  <c r="K179" i="2"/>
  <c r="E179" i="2"/>
  <c r="B179" i="2"/>
  <c r="M178" i="2"/>
  <c r="L178" i="2"/>
  <c r="K178" i="2"/>
  <c r="E178" i="2"/>
  <c r="B178" i="2"/>
  <c r="M177" i="2"/>
  <c r="L177" i="2"/>
  <c r="K177" i="2"/>
  <c r="E177" i="2"/>
  <c r="B177" i="2"/>
  <c r="M176" i="2"/>
  <c r="L176" i="2"/>
  <c r="K176" i="2"/>
  <c r="E176" i="2"/>
  <c r="B176" i="2"/>
  <c r="M175" i="2"/>
  <c r="L175" i="2"/>
  <c r="K175" i="2"/>
  <c r="E175" i="2"/>
  <c r="B175" i="2"/>
  <c r="M174" i="2"/>
  <c r="L174" i="2"/>
  <c r="K174" i="2"/>
  <c r="E174" i="2"/>
  <c r="B174" i="2"/>
  <c r="M173" i="2"/>
  <c r="L173" i="2"/>
  <c r="K173" i="2"/>
  <c r="E173" i="2"/>
  <c r="B173" i="2"/>
  <c r="M172" i="2"/>
  <c r="L172" i="2"/>
  <c r="K172" i="2"/>
  <c r="E172" i="2"/>
  <c r="B172" i="2"/>
  <c r="M171" i="2"/>
  <c r="L171" i="2"/>
  <c r="K171" i="2"/>
  <c r="E171" i="2"/>
  <c r="B171" i="2"/>
  <c r="M170" i="2"/>
  <c r="L170" i="2"/>
  <c r="K170" i="2"/>
  <c r="E170" i="2"/>
  <c r="B170" i="2"/>
  <c r="M169" i="2"/>
  <c r="L169" i="2"/>
  <c r="K169" i="2"/>
  <c r="E169" i="2"/>
  <c r="B169" i="2"/>
  <c r="M168" i="2"/>
  <c r="L168" i="2"/>
  <c r="K168" i="2"/>
  <c r="E168" i="2"/>
  <c r="B168" i="2"/>
  <c r="M167" i="2"/>
  <c r="L167" i="2"/>
  <c r="K167" i="2"/>
  <c r="E167" i="2"/>
  <c r="B167" i="2"/>
  <c r="M166" i="2"/>
  <c r="L166" i="2"/>
  <c r="K166" i="2"/>
  <c r="E166" i="2"/>
  <c r="B166" i="2"/>
  <c r="M165" i="2"/>
  <c r="L165" i="2"/>
  <c r="K165" i="2"/>
  <c r="E165" i="2"/>
  <c r="B165" i="2"/>
  <c r="M164" i="2"/>
  <c r="L164" i="2"/>
  <c r="K164" i="2"/>
  <c r="E164" i="2"/>
  <c r="B164" i="2"/>
  <c r="M163" i="2"/>
  <c r="L163" i="2"/>
  <c r="K163" i="2"/>
  <c r="E163" i="2"/>
  <c r="B163" i="2"/>
  <c r="M162" i="2"/>
  <c r="L162" i="2"/>
  <c r="K162" i="2"/>
  <c r="E162" i="2"/>
  <c r="B162" i="2"/>
  <c r="M161" i="2"/>
  <c r="L161" i="2"/>
  <c r="K161" i="2"/>
  <c r="E161" i="2"/>
  <c r="B161" i="2"/>
  <c r="M160" i="2"/>
  <c r="L160" i="2"/>
  <c r="K160" i="2"/>
  <c r="E160" i="2"/>
  <c r="B160" i="2"/>
  <c r="M159" i="2"/>
  <c r="L159" i="2"/>
  <c r="K159" i="2"/>
  <c r="E159" i="2"/>
  <c r="B159" i="2"/>
  <c r="M158" i="2"/>
  <c r="L158" i="2"/>
  <c r="K158" i="2"/>
  <c r="E158" i="2"/>
  <c r="B158" i="2"/>
  <c r="M157" i="2"/>
  <c r="L157" i="2"/>
  <c r="K157" i="2"/>
  <c r="E157" i="2"/>
  <c r="B157" i="2"/>
  <c r="M156" i="2"/>
  <c r="L156" i="2"/>
  <c r="K156" i="2"/>
  <c r="E156" i="2"/>
  <c r="B156" i="2"/>
  <c r="M155" i="2"/>
  <c r="L155" i="2"/>
  <c r="K155" i="2"/>
  <c r="E155" i="2"/>
  <c r="B155" i="2"/>
  <c r="M154" i="2"/>
  <c r="L154" i="2"/>
  <c r="K154" i="2"/>
  <c r="E154" i="2"/>
  <c r="B154" i="2"/>
  <c r="M153" i="2"/>
  <c r="L153" i="2"/>
  <c r="K153" i="2"/>
  <c r="E153" i="2"/>
  <c r="B153" i="2"/>
  <c r="M152" i="2"/>
  <c r="L152" i="2"/>
  <c r="K152" i="2"/>
  <c r="E152" i="2"/>
  <c r="B152" i="2"/>
  <c r="M151" i="2"/>
  <c r="L151" i="2"/>
  <c r="K151" i="2"/>
  <c r="E151" i="2"/>
  <c r="B151" i="2"/>
  <c r="M150" i="2"/>
  <c r="L150" i="2"/>
  <c r="K150" i="2"/>
  <c r="E150" i="2"/>
  <c r="B150" i="2"/>
  <c r="M149" i="2"/>
  <c r="L149" i="2"/>
  <c r="K149" i="2"/>
  <c r="E149" i="2"/>
  <c r="B149" i="2"/>
  <c r="M148" i="2"/>
  <c r="L148" i="2"/>
  <c r="K148" i="2"/>
  <c r="E148" i="2"/>
  <c r="B148" i="2"/>
  <c r="M147" i="2"/>
  <c r="L147" i="2"/>
  <c r="K147" i="2"/>
  <c r="E147" i="2"/>
  <c r="B147" i="2"/>
  <c r="M146" i="2"/>
  <c r="L146" i="2"/>
  <c r="K146" i="2"/>
  <c r="E146" i="2"/>
  <c r="B146" i="2"/>
  <c r="M145" i="2"/>
  <c r="L145" i="2"/>
  <c r="K145" i="2"/>
  <c r="E145" i="2"/>
  <c r="B145" i="2"/>
  <c r="M144" i="2"/>
  <c r="L144" i="2"/>
  <c r="K144" i="2"/>
  <c r="E144" i="2"/>
  <c r="B144" i="2"/>
  <c r="M143" i="2"/>
  <c r="L143" i="2"/>
  <c r="K143" i="2"/>
  <c r="E143" i="2"/>
  <c r="B143" i="2"/>
  <c r="M142" i="2"/>
  <c r="L142" i="2"/>
  <c r="K142" i="2"/>
  <c r="E142" i="2"/>
  <c r="B142" i="2"/>
  <c r="M141" i="2"/>
  <c r="L141" i="2"/>
  <c r="K141" i="2"/>
  <c r="E141" i="2"/>
  <c r="B141" i="2"/>
  <c r="M140" i="2"/>
  <c r="L140" i="2"/>
  <c r="K140" i="2"/>
  <c r="E140" i="2"/>
  <c r="B140" i="2"/>
  <c r="M139" i="2"/>
  <c r="L139" i="2"/>
  <c r="K139" i="2"/>
  <c r="E139" i="2"/>
  <c r="B139" i="2"/>
  <c r="M138" i="2"/>
  <c r="L138" i="2"/>
  <c r="K138" i="2"/>
  <c r="E138" i="2"/>
  <c r="B138" i="2"/>
  <c r="M137" i="2"/>
  <c r="L137" i="2"/>
  <c r="K137" i="2"/>
  <c r="E137" i="2"/>
  <c r="B137" i="2"/>
  <c r="M136" i="2"/>
  <c r="L136" i="2"/>
  <c r="K136" i="2"/>
  <c r="E136" i="2"/>
  <c r="B136" i="2"/>
  <c r="M135" i="2"/>
  <c r="L135" i="2"/>
  <c r="K135" i="2"/>
  <c r="E135" i="2"/>
  <c r="B135" i="2"/>
  <c r="M134" i="2"/>
  <c r="L134" i="2"/>
  <c r="K134" i="2"/>
  <c r="E134" i="2"/>
  <c r="B134" i="2"/>
  <c r="M133" i="2"/>
  <c r="L133" i="2"/>
  <c r="K133" i="2"/>
  <c r="E133" i="2"/>
  <c r="B133" i="2"/>
  <c r="M132" i="2"/>
  <c r="L132" i="2"/>
  <c r="K132" i="2"/>
  <c r="E132" i="2"/>
  <c r="B132" i="2"/>
  <c r="M131" i="2"/>
  <c r="L131" i="2"/>
  <c r="K131" i="2"/>
  <c r="E131" i="2"/>
  <c r="B131" i="2"/>
  <c r="M130" i="2"/>
  <c r="L130" i="2"/>
  <c r="K130" i="2"/>
  <c r="E130" i="2"/>
  <c r="B130" i="2"/>
  <c r="M129" i="2"/>
  <c r="L129" i="2"/>
  <c r="K129" i="2"/>
  <c r="E129" i="2"/>
  <c r="B129" i="2"/>
  <c r="M128" i="2"/>
  <c r="L128" i="2"/>
  <c r="K128" i="2"/>
  <c r="E128" i="2"/>
  <c r="B128" i="2"/>
  <c r="M127" i="2"/>
  <c r="L127" i="2"/>
  <c r="K127" i="2"/>
  <c r="E127" i="2"/>
  <c r="B127" i="2"/>
  <c r="M126" i="2"/>
  <c r="L126" i="2"/>
  <c r="K126" i="2"/>
  <c r="E126" i="2"/>
  <c r="B126" i="2"/>
  <c r="M125" i="2"/>
  <c r="L125" i="2"/>
  <c r="K125" i="2"/>
  <c r="E125" i="2"/>
  <c r="B125" i="2"/>
  <c r="M124" i="2"/>
  <c r="L124" i="2"/>
  <c r="K124" i="2"/>
  <c r="E124" i="2"/>
  <c r="B124" i="2"/>
  <c r="M123" i="2"/>
  <c r="L123" i="2"/>
  <c r="K123" i="2"/>
  <c r="E123" i="2"/>
  <c r="B123" i="2"/>
  <c r="M122" i="2"/>
  <c r="L122" i="2"/>
  <c r="K122" i="2"/>
  <c r="E122" i="2"/>
  <c r="B122" i="2"/>
  <c r="M121" i="2"/>
  <c r="L121" i="2"/>
  <c r="K121" i="2"/>
  <c r="E121" i="2"/>
  <c r="B121" i="2"/>
  <c r="M120" i="2"/>
  <c r="L120" i="2"/>
  <c r="K120" i="2"/>
  <c r="E120" i="2"/>
  <c r="B120" i="2"/>
  <c r="M119" i="2"/>
  <c r="L119" i="2"/>
  <c r="K119" i="2"/>
  <c r="E119" i="2"/>
  <c r="B119" i="2"/>
  <c r="M118" i="2"/>
  <c r="L118" i="2"/>
  <c r="K118" i="2"/>
  <c r="E118" i="2"/>
  <c r="B118" i="2"/>
  <c r="M117" i="2"/>
  <c r="L117" i="2"/>
  <c r="K117" i="2"/>
  <c r="E117" i="2"/>
  <c r="B117" i="2"/>
  <c r="M116" i="2"/>
  <c r="L116" i="2"/>
  <c r="K116" i="2"/>
  <c r="E116" i="2"/>
  <c r="B116" i="2"/>
  <c r="M115" i="2"/>
  <c r="L115" i="2"/>
  <c r="K115" i="2"/>
  <c r="E115" i="2"/>
  <c r="B115" i="2"/>
  <c r="M114" i="2"/>
  <c r="L114" i="2"/>
  <c r="K114" i="2"/>
  <c r="E114" i="2"/>
  <c r="B114" i="2"/>
  <c r="M113" i="2"/>
  <c r="L113" i="2"/>
  <c r="K113" i="2"/>
  <c r="E113" i="2"/>
  <c r="B113" i="2"/>
  <c r="M112" i="2"/>
  <c r="L112" i="2"/>
  <c r="K112" i="2"/>
  <c r="E112" i="2"/>
  <c r="B112" i="2"/>
  <c r="M111" i="2"/>
  <c r="L111" i="2"/>
  <c r="K111" i="2"/>
  <c r="E111" i="2"/>
  <c r="B111" i="2"/>
  <c r="M110" i="2"/>
  <c r="L110" i="2"/>
  <c r="K110" i="2"/>
  <c r="E110" i="2"/>
  <c r="B110" i="2"/>
  <c r="M109" i="2"/>
  <c r="L109" i="2"/>
  <c r="K109" i="2"/>
  <c r="E109" i="2"/>
  <c r="B109" i="2"/>
  <c r="M108" i="2"/>
  <c r="L108" i="2"/>
  <c r="K108" i="2"/>
  <c r="E108" i="2"/>
  <c r="B108" i="2"/>
  <c r="M107" i="2"/>
  <c r="L107" i="2"/>
  <c r="K107" i="2"/>
  <c r="E107" i="2"/>
  <c r="B107" i="2"/>
  <c r="M106" i="2"/>
  <c r="L106" i="2"/>
  <c r="K106" i="2"/>
  <c r="E106" i="2"/>
  <c r="B106" i="2"/>
  <c r="M105" i="2"/>
  <c r="L105" i="2"/>
  <c r="K105" i="2"/>
  <c r="E105" i="2"/>
  <c r="B105" i="2"/>
  <c r="M104" i="2"/>
  <c r="L104" i="2"/>
  <c r="K104" i="2"/>
  <c r="E104" i="2"/>
  <c r="B104" i="2"/>
  <c r="M103" i="2"/>
  <c r="L103" i="2"/>
  <c r="K103" i="2"/>
  <c r="E103" i="2"/>
  <c r="B103" i="2"/>
  <c r="M102" i="2"/>
  <c r="L102" i="2"/>
  <c r="K102" i="2"/>
  <c r="E102" i="2"/>
  <c r="B102" i="2"/>
  <c r="M101" i="2"/>
  <c r="L101" i="2"/>
  <c r="K101" i="2"/>
  <c r="E101" i="2"/>
  <c r="B101" i="2"/>
  <c r="M100" i="2"/>
  <c r="L100" i="2"/>
  <c r="K100" i="2"/>
  <c r="E100" i="2"/>
  <c r="B100" i="2"/>
  <c r="M99" i="2"/>
  <c r="L99" i="2"/>
  <c r="K99" i="2"/>
  <c r="E99" i="2"/>
  <c r="B99" i="2"/>
  <c r="M98" i="2"/>
  <c r="L98" i="2"/>
  <c r="K98" i="2"/>
  <c r="E98" i="2"/>
  <c r="B98" i="2"/>
  <c r="M97" i="2"/>
  <c r="L97" i="2"/>
  <c r="K97" i="2"/>
  <c r="E97" i="2"/>
  <c r="B97" i="2"/>
  <c r="M96" i="2"/>
  <c r="L96" i="2"/>
  <c r="K96" i="2"/>
  <c r="E96" i="2"/>
  <c r="B96" i="2"/>
  <c r="M95" i="2"/>
  <c r="L95" i="2"/>
  <c r="K95" i="2"/>
  <c r="E95" i="2"/>
  <c r="B95" i="2"/>
  <c r="M94" i="2"/>
  <c r="L94" i="2"/>
  <c r="K94" i="2"/>
  <c r="E94" i="2"/>
  <c r="B94" i="2"/>
  <c r="M93" i="2"/>
  <c r="L93" i="2"/>
  <c r="K93" i="2"/>
  <c r="E93" i="2"/>
  <c r="B93" i="2"/>
  <c r="M92" i="2"/>
  <c r="L92" i="2"/>
  <c r="K92" i="2"/>
  <c r="E92" i="2"/>
  <c r="B92" i="2"/>
  <c r="M91" i="2"/>
  <c r="L91" i="2"/>
  <c r="K91" i="2"/>
  <c r="E91" i="2"/>
  <c r="B91" i="2"/>
  <c r="M90" i="2"/>
  <c r="L90" i="2"/>
  <c r="K90" i="2"/>
  <c r="E90" i="2"/>
  <c r="B90" i="2"/>
  <c r="M89" i="2"/>
  <c r="L89" i="2"/>
  <c r="K89" i="2"/>
  <c r="E89" i="2"/>
  <c r="B89" i="2"/>
  <c r="M88" i="2"/>
  <c r="L88" i="2"/>
  <c r="K88" i="2"/>
  <c r="E88" i="2"/>
  <c r="B88" i="2"/>
  <c r="M87" i="2"/>
  <c r="L87" i="2"/>
  <c r="K87" i="2"/>
  <c r="E87" i="2"/>
  <c r="B87" i="2"/>
  <c r="M86" i="2"/>
  <c r="L86" i="2"/>
  <c r="K86" i="2"/>
  <c r="E86" i="2"/>
  <c r="B86" i="2"/>
  <c r="M85" i="2"/>
  <c r="L85" i="2"/>
  <c r="K85" i="2"/>
  <c r="E85" i="2"/>
  <c r="B85" i="2"/>
  <c r="M84" i="2"/>
  <c r="L84" i="2"/>
  <c r="K84" i="2"/>
  <c r="E84" i="2"/>
  <c r="B84" i="2"/>
  <c r="M83" i="2"/>
  <c r="L83" i="2"/>
  <c r="K83" i="2"/>
  <c r="E83" i="2"/>
  <c r="B83" i="2"/>
  <c r="M82" i="2"/>
  <c r="L82" i="2"/>
  <c r="K82" i="2"/>
  <c r="E82" i="2"/>
  <c r="B82" i="2"/>
  <c r="M81" i="2"/>
  <c r="L81" i="2"/>
  <c r="K81" i="2"/>
  <c r="E81" i="2"/>
  <c r="B81" i="2"/>
  <c r="M80" i="2"/>
  <c r="L80" i="2"/>
  <c r="K80" i="2"/>
  <c r="E80" i="2"/>
  <c r="B80" i="2"/>
  <c r="M79" i="2"/>
  <c r="L79" i="2"/>
  <c r="K79" i="2"/>
  <c r="E79" i="2"/>
  <c r="B79" i="2"/>
  <c r="M78" i="2"/>
  <c r="L78" i="2"/>
  <c r="K78" i="2"/>
  <c r="E78" i="2"/>
  <c r="B78" i="2"/>
  <c r="M77" i="2"/>
  <c r="L77" i="2"/>
  <c r="K77" i="2"/>
  <c r="E77" i="2"/>
  <c r="B77" i="2"/>
  <c r="M76" i="2"/>
  <c r="L76" i="2"/>
  <c r="K76" i="2"/>
  <c r="E76" i="2"/>
  <c r="B76" i="2"/>
  <c r="M75" i="2"/>
  <c r="L75" i="2"/>
  <c r="K75" i="2"/>
  <c r="E75" i="2"/>
  <c r="B75" i="2"/>
  <c r="M74" i="2"/>
  <c r="L74" i="2"/>
  <c r="K74" i="2"/>
  <c r="E74" i="2"/>
  <c r="B74" i="2"/>
  <c r="M73" i="2"/>
  <c r="L73" i="2"/>
  <c r="K73" i="2"/>
  <c r="E73" i="2"/>
  <c r="B73" i="2"/>
  <c r="M72" i="2"/>
  <c r="L72" i="2"/>
  <c r="K72" i="2"/>
  <c r="E72" i="2"/>
  <c r="B72" i="2"/>
  <c r="M71" i="2"/>
  <c r="L71" i="2"/>
  <c r="K71" i="2"/>
  <c r="E71" i="2"/>
  <c r="B71" i="2"/>
  <c r="M70" i="2"/>
  <c r="L70" i="2"/>
  <c r="K70" i="2"/>
  <c r="E70" i="2"/>
  <c r="B70" i="2"/>
  <c r="M69" i="2"/>
  <c r="L69" i="2"/>
  <c r="K69" i="2"/>
  <c r="E69" i="2"/>
  <c r="B69" i="2"/>
  <c r="M68" i="2"/>
  <c r="L68" i="2"/>
  <c r="K68" i="2"/>
  <c r="E68" i="2"/>
  <c r="B68" i="2"/>
  <c r="M67" i="2"/>
  <c r="L67" i="2"/>
  <c r="K67" i="2"/>
  <c r="E67" i="2"/>
  <c r="B67" i="2"/>
  <c r="M66" i="2"/>
  <c r="L66" i="2"/>
  <c r="K66" i="2"/>
  <c r="E66" i="2"/>
  <c r="B66" i="2"/>
  <c r="M65" i="2"/>
  <c r="L65" i="2"/>
  <c r="K65" i="2"/>
  <c r="E65" i="2"/>
  <c r="B65" i="2"/>
  <c r="M64" i="2"/>
  <c r="L64" i="2"/>
  <c r="K64" i="2"/>
  <c r="E64" i="2"/>
  <c r="B64" i="2"/>
  <c r="M63" i="2"/>
  <c r="L63" i="2"/>
  <c r="K63" i="2"/>
  <c r="E63" i="2"/>
  <c r="B63" i="2"/>
  <c r="M62" i="2"/>
  <c r="L62" i="2"/>
  <c r="K62" i="2"/>
  <c r="E62" i="2"/>
  <c r="B62" i="2"/>
  <c r="M61" i="2"/>
  <c r="L61" i="2"/>
  <c r="K61" i="2"/>
  <c r="E61" i="2"/>
  <c r="B61" i="2"/>
  <c r="M60" i="2"/>
  <c r="L60" i="2"/>
  <c r="K60" i="2"/>
  <c r="E60" i="2"/>
  <c r="B60" i="2"/>
  <c r="M59" i="2"/>
  <c r="L59" i="2"/>
  <c r="K59" i="2"/>
  <c r="E59" i="2"/>
  <c r="B59" i="2"/>
  <c r="M58" i="2"/>
  <c r="L58" i="2"/>
  <c r="K58" i="2"/>
  <c r="E58" i="2"/>
  <c r="B58" i="2"/>
  <c r="M57" i="2"/>
  <c r="L57" i="2"/>
  <c r="K57" i="2"/>
  <c r="E57" i="2"/>
  <c r="B57" i="2"/>
  <c r="M56" i="2"/>
  <c r="L56" i="2"/>
  <c r="K56" i="2"/>
  <c r="E56" i="2"/>
  <c r="B56" i="2"/>
  <c r="M55" i="2"/>
  <c r="L55" i="2"/>
  <c r="K55" i="2"/>
  <c r="E55" i="2"/>
  <c r="B55" i="2"/>
  <c r="M54" i="2"/>
  <c r="L54" i="2"/>
  <c r="K54" i="2"/>
  <c r="E54" i="2"/>
  <c r="B54" i="2"/>
  <c r="M53" i="2"/>
  <c r="L53" i="2"/>
  <c r="K53" i="2"/>
  <c r="E53" i="2"/>
  <c r="B53" i="2"/>
  <c r="M52" i="2"/>
  <c r="L52" i="2"/>
  <c r="K52" i="2"/>
  <c r="E52" i="2"/>
  <c r="B52" i="2"/>
  <c r="M51" i="2"/>
  <c r="L51" i="2"/>
  <c r="K51" i="2"/>
  <c r="E51" i="2"/>
  <c r="B51" i="2"/>
  <c r="M50" i="2"/>
  <c r="L50" i="2"/>
  <c r="K50" i="2"/>
  <c r="E50" i="2"/>
  <c r="B50" i="2"/>
  <c r="M49" i="2"/>
  <c r="L49" i="2"/>
  <c r="K49" i="2"/>
  <c r="E49" i="2"/>
  <c r="B49" i="2"/>
  <c r="M48" i="2"/>
  <c r="L48" i="2"/>
  <c r="K48" i="2"/>
  <c r="E48" i="2"/>
  <c r="B48" i="2"/>
  <c r="M47" i="2"/>
  <c r="L47" i="2"/>
  <c r="K47" i="2"/>
  <c r="E47" i="2"/>
  <c r="B47" i="2"/>
  <c r="M46" i="2"/>
  <c r="L46" i="2"/>
  <c r="K46" i="2"/>
  <c r="E46" i="2"/>
  <c r="B46" i="2"/>
  <c r="M45" i="2"/>
  <c r="L45" i="2"/>
  <c r="K45" i="2"/>
  <c r="E45" i="2"/>
  <c r="B45" i="2"/>
  <c r="M44" i="2"/>
  <c r="L44" i="2"/>
  <c r="K44" i="2"/>
  <c r="E44" i="2"/>
  <c r="B44" i="2"/>
  <c r="M43" i="2"/>
  <c r="L43" i="2"/>
  <c r="K43" i="2"/>
  <c r="E43" i="2"/>
  <c r="B43" i="2"/>
  <c r="M42" i="2"/>
  <c r="L42" i="2"/>
  <c r="K42" i="2"/>
  <c r="E42" i="2"/>
  <c r="B42" i="2"/>
  <c r="M41" i="2"/>
  <c r="L41" i="2"/>
  <c r="K41" i="2"/>
  <c r="E41" i="2"/>
  <c r="B41" i="2"/>
  <c r="M40" i="2"/>
  <c r="L40" i="2"/>
  <c r="K40" i="2"/>
  <c r="E40" i="2"/>
  <c r="B40" i="2"/>
  <c r="M39" i="2"/>
  <c r="L39" i="2"/>
  <c r="K39" i="2"/>
  <c r="E39" i="2"/>
  <c r="B39" i="2"/>
  <c r="M38" i="2"/>
  <c r="L38" i="2"/>
  <c r="K38" i="2"/>
  <c r="E38" i="2"/>
  <c r="B38" i="2"/>
  <c r="M37" i="2"/>
  <c r="L37" i="2"/>
  <c r="K37" i="2"/>
  <c r="E37" i="2"/>
  <c r="B37" i="2"/>
  <c r="M36" i="2"/>
  <c r="L36" i="2"/>
  <c r="K36" i="2"/>
  <c r="E36" i="2"/>
  <c r="B36" i="2"/>
  <c r="M35" i="2"/>
  <c r="L35" i="2"/>
  <c r="K35" i="2"/>
  <c r="E35" i="2"/>
  <c r="B35" i="2"/>
  <c r="M34" i="2"/>
  <c r="L34" i="2"/>
  <c r="K34" i="2"/>
  <c r="E34" i="2"/>
  <c r="B34" i="2"/>
  <c r="M33" i="2"/>
  <c r="L33" i="2"/>
  <c r="K33" i="2"/>
  <c r="E33" i="2"/>
  <c r="B33" i="2"/>
  <c r="M32" i="2"/>
  <c r="L32" i="2"/>
  <c r="K32" i="2"/>
  <c r="E32" i="2"/>
  <c r="B32" i="2"/>
  <c r="M31" i="2"/>
  <c r="L31" i="2"/>
  <c r="K31" i="2"/>
  <c r="E31" i="2"/>
  <c r="B31" i="2"/>
  <c r="M30" i="2"/>
  <c r="L30" i="2"/>
  <c r="K30" i="2"/>
  <c r="E30" i="2"/>
  <c r="B30" i="2"/>
  <c r="M29" i="2"/>
  <c r="L29" i="2"/>
  <c r="K29" i="2"/>
  <c r="E29" i="2"/>
  <c r="B29" i="2"/>
  <c r="M28" i="2"/>
  <c r="L28" i="2"/>
  <c r="K28" i="2"/>
  <c r="E28" i="2"/>
  <c r="B28" i="2"/>
  <c r="M27" i="2"/>
  <c r="L27" i="2"/>
  <c r="K27" i="2"/>
  <c r="E27" i="2"/>
  <c r="B27" i="2"/>
  <c r="M26" i="2"/>
  <c r="L26" i="2"/>
  <c r="K26" i="2"/>
  <c r="E26" i="2"/>
  <c r="B26" i="2"/>
  <c r="M25" i="2"/>
  <c r="L25" i="2"/>
  <c r="K25" i="2"/>
  <c r="E25" i="2"/>
  <c r="B25" i="2"/>
  <c r="M24" i="2"/>
  <c r="L24" i="2"/>
  <c r="K24" i="2"/>
  <c r="E24" i="2"/>
  <c r="B24" i="2"/>
  <c r="M23" i="2"/>
  <c r="L23" i="2"/>
  <c r="K23" i="2"/>
  <c r="E23" i="2"/>
  <c r="B23" i="2"/>
  <c r="M22" i="2"/>
  <c r="L22" i="2"/>
  <c r="K22" i="2"/>
  <c r="E22" i="2"/>
  <c r="B22" i="2"/>
  <c r="M21" i="2"/>
  <c r="L21" i="2"/>
  <c r="K21" i="2"/>
  <c r="E21" i="2"/>
  <c r="B21" i="2"/>
  <c r="M20" i="2"/>
  <c r="L20" i="2"/>
  <c r="K20" i="2"/>
  <c r="E20" i="2"/>
  <c r="B20" i="2"/>
  <c r="M19" i="2"/>
  <c r="L19" i="2"/>
  <c r="K19" i="2"/>
  <c r="E19" i="2"/>
  <c r="B19" i="2"/>
  <c r="M18" i="2"/>
  <c r="L18" i="2"/>
  <c r="K18" i="2"/>
  <c r="E18" i="2"/>
  <c r="B18" i="2"/>
  <c r="M17" i="2"/>
  <c r="L17" i="2"/>
  <c r="K17" i="2"/>
  <c r="E17" i="2"/>
  <c r="B17" i="2"/>
  <c r="M16" i="2"/>
  <c r="L16" i="2"/>
  <c r="K16" i="2"/>
  <c r="E16" i="2"/>
  <c r="B16" i="2"/>
  <c r="M15" i="2"/>
  <c r="L15" i="2"/>
  <c r="K15" i="2"/>
  <c r="E15" i="2"/>
  <c r="B15" i="2"/>
  <c r="M14" i="2"/>
  <c r="L14" i="2"/>
  <c r="K14" i="2"/>
  <c r="E14" i="2"/>
  <c r="B14" i="2"/>
  <c r="M13" i="2"/>
  <c r="L13" i="2"/>
  <c r="K13" i="2"/>
  <c r="E13" i="2"/>
  <c r="B13" i="2"/>
  <c r="M12" i="2"/>
  <c r="L12" i="2"/>
  <c r="K12" i="2"/>
  <c r="E12" i="2"/>
  <c r="B12" i="2"/>
  <c r="M11" i="2"/>
  <c r="L11" i="2"/>
  <c r="K11" i="2"/>
  <c r="E11" i="2"/>
  <c r="B11" i="2"/>
  <c r="M9" i="2"/>
  <c r="L9" i="2"/>
  <c r="K9" i="2"/>
  <c r="E9" i="2"/>
  <c r="B9" i="2"/>
  <c r="M8" i="2"/>
  <c r="L8" i="2"/>
  <c r="K8" i="2"/>
  <c r="E8" i="2"/>
  <c r="I40" i="3" s="1"/>
  <c r="B8" i="2"/>
  <c r="C35" i="3" s="1"/>
  <c r="M7" i="2"/>
  <c r="L7" i="2"/>
  <c r="K7" i="2"/>
  <c r="E7" i="2"/>
  <c r="B7" i="2"/>
  <c r="M6" i="2"/>
  <c r="L6" i="2"/>
  <c r="K6" i="2"/>
  <c r="E6" i="2"/>
  <c r="B6" i="2"/>
  <c r="M5" i="2"/>
  <c r="L5" i="2"/>
  <c r="K5" i="2"/>
  <c r="E5" i="2"/>
  <c r="B5" i="2"/>
  <c r="I36" i="3" l="1"/>
  <c r="G19" i="3"/>
  <c r="C19" i="3"/>
  <c r="D19" i="3"/>
  <c r="F19" i="3"/>
  <c r="E19" i="3"/>
  <c r="I24" i="3"/>
  <c r="F27" i="3"/>
  <c r="C30" i="3"/>
  <c r="I32" i="3"/>
  <c r="F35" i="3"/>
  <c r="I41" i="3"/>
  <c r="C24" i="3"/>
  <c r="I26" i="3"/>
  <c r="F29" i="3"/>
  <c r="C32" i="3"/>
  <c r="I34" i="3"/>
  <c r="G24" i="3"/>
  <c r="D27" i="3"/>
  <c r="J29" i="3"/>
  <c r="G32" i="3"/>
  <c r="D35" i="3"/>
  <c r="H24" i="3"/>
  <c r="E27" i="3"/>
  <c r="K29" i="3"/>
  <c r="H32" i="3"/>
  <c r="E35" i="3"/>
  <c r="J24" i="3"/>
  <c r="G27" i="3"/>
  <c r="D30" i="3"/>
  <c r="J32" i="3"/>
  <c r="G35" i="3"/>
  <c r="K24" i="3"/>
  <c r="H27" i="3"/>
  <c r="E30" i="3"/>
  <c r="K32" i="3"/>
  <c r="H35" i="3"/>
  <c r="C25" i="3"/>
  <c r="I27" i="3"/>
  <c r="F30" i="3"/>
  <c r="C33" i="3"/>
  <c r="I35" i="3"/>
  <c r="D25" i="3"/>
  <c r="J27" i="3"/>
  <c r="G30" i="3"/>
  <c r="D33" i="3"/>
  <c r="J35" i="3"/>
  <c r="E25" i="3"/>
  <c r="K27" i="3"/>
  <c r="H30" i="3"/>
  <c r="E33" i="3"/>
  <c r="K35" i="3"/>
  <c r="F25" i="3"/>
  <c r="C28" i="3"/>
  <c r="I30" i="3"/>
  <c r="F33" i="3"/>
  <c r="C36" i="3"/>
  <c r="G25" i="3"/>
  <c r="D28" i="3"/>
  <c r="J30" i="3"/>
  <c r="G33" i="3"/>
  <c r="D36" i="3"/>
  <c r="I25" i="3"/>
  <c r="F28" i="3"/>
  <c r="C31" i="3"/>
  <c r="I33" i="3"/>
  <c r="F36" i="3"/>
  <c r="J25" i="3"/>
  <c r="G28" i="3"/>
  <c r="D31" i="3"/>
  <c r="J33" i="3"/>
  <c r="G36" i="3"/>
  <c r="K25" i="3"/>
  <c r="H28" i="3"/>
  <c r="E31" i="3"/>
  <c r="K33" i="3"/>
  <c r="H36" i="3"/>
  <c r="D26" i="3"/>
  <c r="J28" i="3"/>
  <c r="G31" i="3"/>
  <c r="D34" i="3"/>
  <c r="J36" i="3"/>
  <c r="E26" i="3"/>
  <c r="K28" i="3"/>
  <c r="H31" i="3"/>
  <c r="E34" i="3"/>
  <c r="K36" i="3"/>
  <c r="F26" i="3"/>
  <c r="C29" i="3"/>
  <c r="I31" i="3"/>
  <c r="F34" i="3"/>
  <c r="H25" i="3"/>
  <c r="E28" i="3"/>
  <c r="K30" i="3"/>
  <c r="H33" i="3"/>
  <c r="E36" i="3"/>
  <c r="C26" i="3"/>
  <c r="F31" i="3"/>
  <c r="C34" i="3"/>
  <c r="I28" i="3"/>
  <c r="G26" i="3"/>
  <c r="D29" i="3"/>
  <c r="J31" i="3"/>
  <c r="G34" i="3"/>
  <c r="H26" i="3"/>
  <c r="E29" i="3"/>
  <c r="K31" i="3"/>
  <c r="H34" i="3"/>
  <c r="K6" i="3"/>
  <c r="D24" i="3"/>
  <c r="J26" i="3"/>
  <c r="G29" i="3"/>
  <c r="D32" i="3"/>
  <c r="J34" i="3"/>
  <c r="E24" i="3"/>
  <c r="K26" i="3"/>
  <c r="H29" i="3"/>
  <c r="E32" i="3"/>
  <c r="K34" i="3"/>
  <c r="F24" i="3"/>
  <c r="C27" i="3"/>
  <c r="I29" i="3"/>
  <c r="F32" i="3"/>
</calcChain>
</file>

<file path=xl/sharedStrings.xml><?xml version="1.0" encoding="utf-8"?>
<sst xmlns="http://schemas.openxmlformats.org/spreadsheetml/2006/main" count="1469" uniqueCount="599">
  <si>
    <t>CS-57 - Contribution Tracker</t>
  </si>
  <si>
    <t>Human-AI Data Annotation, Provenance &amp; Dataset Evaluation Platform   |   Group CS-57   |   Client: Hunter Xu</t>
  </si>
  <si>
    <t>The one rule</t>
  </si>
  <si>
    <t>After your pull request is merged into main, add ONE row to the 'Contribution Log' tab. That is the whole process. Every other tab fills itself in from those rows.</t>
  </si>
  <si>
    <t>What each tab is for</t>
  </si>
  <si>
    <t>Contribution Log</t>
  </si>
  <si>
    <t>The only tab you type into. One row per merged PR. Cream headers = you fill in; grey headers = filled in automatically, do not type in them.</t>
  </si>
  <si>
    <t>Dashboard</t>
  </si>
  <si>
    <t>Automatic. Who merged what, per week and in total; review health; the split across frontend / backend / AI.</t>
  </si>
  <si>
    <t>Jira Board</t>
  </si>
  <si>
    <t>Who owns which bundle, how much of the committed scope is done, workload per person, and every issue on the board matched to the story it serves. Fill in the nine Owner cells once; the rest is a snapshot of docs/Jira.csv plus live PR counts.</t>
  </si>
  <si>
    <t>Client Report</t>
  </si>
  <si>
    <t>Set a date range at the top and this becomes the numbers block for the Status Checking form and the weekly client meeting.</t>
  </si>
  <si>
    <t>Lists</t>
  </si>
  <si>
    <t>Reference data behind the dropdowns and the automatic columns. Only edit the Week 1 Monday date, and only once.</t>
  </si>
  <si>
    <t>When you finish a story</t>
  </si>
  <si>
    <t>Work through this before you ask for a review. If you cannot tick items 1 and 2, the story is not finished - which is fine, but log the PR with 'Story complete? = No'.</t>
  </si>
  <si>
    <t>1.   Open the story in user-stories.html and re-read its acceptance criteria - every numbered criterion, not the one you remember. This is what 'done' means for that story.</t>
  </si>
  <si>
    <t>2.   The checks pass: npm run typecheck and the test suite run clean in whatever you touched (story A2).</t>
  </si>
  <si>
    <t>3.   There is a test covering the behaviour you changed, not only the code you wrote.</t>
  </si>
  <si>
    <t>4.   Anything a teammate could not guess is written down - a change note, and a decision record if you chose between real alternatives.</t>
  </si>
  <si>
    <t>5.   Open the PR with the story ID in the title, e.g. 'C2 - task queue progress'.</t>
  </si>
  <si>
    <t>6.   Request review from someone who did not write the code (story A1), and move the SCRUM ticket to In Review.</t>
  </si>
  <si>
    <t>7.   Once it is merged: move the SCRUM ticket to Done, then add your row to the Contribution Log.</t>
  </si>
  <si>
    <t>8.   Set 'Story complete? = Yes' only if every acceptance criterion is now met. If it closed a catalogued defect, put the issue number in 'Defects closed'.</t>
  </si>
  <si>
    <t>How to log a merged PR</t>
  </si>
  <si>
    <t>1.   Open 'Contribution Log' and go to the first empty row.</t>
  </si>
  <si>
    <t>2.   Date merged - the date the PR landed on main. The Week column fills itself in from this.</t>
  </si>
  <si>
    <t>3.   Member is you. Reviewed by is the teammate who approved the PR. They must be different people (story A1 - no change reaches main without a second person's review); the sheet turns the row red if they are not.</t>
  </si>
  <si>
    <t>4.   Story ID - pick the backlog story the work serves (A1 ... K4). The story title, epic and priority appear automatically.</t>
  </si>
  <si>
    <t>5.   What changed - one sentence a non-engineer can understand. This sentence is what gets read out to the client, so write it for the client, not for the team.</t>
  </si>
  <si>
    <t>6.   Story complete? - answer 'Yes' only when nothing further is needed for that story. This is what drives every progress number in the workbook.</t>
  </si>
  <si>
    <t>What a good row looks like</t>
  </si>
  <si>
    <t>Date merged</t>
  </si>
  <si>
    <t>Member</t>
  </si>
  <si>
    <t>Reviewed by</t>
  </si>
  <si>
    <t>Work type</t>
  </si>
  <si>
    <t>Story ID</t>
  </si>
  <si>
    <t>What changed (plain English, for the client)</t>
  </si>
  <si>
    <t>Story complete?</t>
  </si>
  <si>
    <t>2026-09-08</t>
  </si>
  <si>
    <t>Hanchen Wang</t>
  </si>
  <si>
    <t>Michael Max</t>
  </si>
  <si>
    <t>Feature</t>
  </si>
  <si>
    <t>C2</t>
  </si>
  <si>
    <t>A task with 1,000 items now runs in the background and shows a live progress bar, instead of freezing the page.</t>
  </si>
  <si>
    <t>No - more work to come</t>
  </si>
  <si>
    <t>2026-09-09</t>
  </si>
  <si>
    <t>Yi Geng</t>
  </si>
  <si>
    <t>Dishank Aswal</t>
  </si>
  <si>
    <t>Defect fix</t>
  </si>
  <si>
    <t>C3</t>
  </si>
  <si>
    <t>When the AI is unavailable the item is now marked 'AI failed' instead of being filled with an invented bounding box.</t>
  </si>
  <si>
    <t>Yes - story complete</t>
  </si>
  <si>
    <t>2026-09-10</t>
  </si>
  <si>
    <t>Parth</t>
  </si>
  <si>
    <t>Tok Tin Chung</t>
  </si>
  <si>
    <t>Client / PM / Report</t>
  </si>
  <si>
    <t>K2</t>
  </si>
  <si>
    <t>Wrote up the Week 6 status report and the client's decision on dispute routing.</t>
  </si>
  <si>
    <t>N/A - not story work</t>
  </si>
  <si>
    <t>Note what the summaries do not say: no file names, no function names, no ticket jargon. Write the sentence the client would understand if it were read out loud.</t>
  </si>
  <si>
    <t>Ground rules</t>
  </si>
  <si>
    <t>-   One row per merged PR - not per commit, and not per day of work.</t>
  </si>
  <si>
    <t>-   Log it the same day it merges. A log reconstructed from memory in Week 12 is worth very little to anyone, including you.</t>
  </si>
  <si>
    <t>-   Never delete or reorder someone else's row. If a row is wrong, correct that row.</t>
  </si>
  <si>
    <t>-   Do not insert, delete or reorder columns. The other tabs read this one by column position and will break.</t>
  </si>
  <si>
    <t>-   Work that is not a PR still counts - client meetings, the report, the proposal, research spikes. Log it with work type 'Client / PM / Report' or 'Spike / Research' and leave the PR number blank.</t>
  </si>
  <si>
    <t>-   If one PR serves two stories, log the row against the main story and name the second one in Notes.</t>
  </si>
  <si>
    <t>Setting it up (once)</t>
  </si>
  <si>
    <t>1.   In Google Sheets: File &gt; Import &gt; Upload this file, and choose 'Replace spreadsheet'.</t>
  </si>
  <si>
    <t>2.   The 'Lists' tab cell B2 holds the Monday of teaching Week 1: 3 August 2026, so that W6 is the week of Monday 7 September 2026 and W13 is the last. The week calendar in Lists columns T-V shows every week - glance at it, and only change B2 if a week there disagrees with your semester calendar.</t>
  </si>
  <si>
    <t>3.   Check the eight names in Lists column A are how people want to be named, then Share with all eight as Editor.</t>
  </si>
  <si>
    <t>4.   On 'Jira Board', fill in the nine Owner cells under 'Who owns what'. The allocation document names the bundles but nobody to own them, so this is the one decision the workbook cannot make for you.</t>
  </si>
  <si>
    <t>5.   Worth doing: on Contribution Log use View &gt; Freeze &gt; 1 row, and turn on Tools &gt; Notification settings &gt; 'Any changes' so the leads see new entries without asking.</t>
  </si>
  <si>
    <t>Week</t>
  </si>
  <si>
    <t>Review OK?</t>
  </si>
  <si>
    <t>PR #</t>
  </si>
  <si>
    <t>PR link</t>
  </si>
  <si>
    <t>Area / repo</t>
  </si>
  <si>
    <t>Story title</t>
  </si>
  <si>
    <t>Epic</t>
  </si>
  <si>
    <t>Pri</t>
  </si>
  <si>
    <t>SCRUM ticket</t>
  </si>
  <si>
    <t>Defects closed</t>
  </si>
  <si>
    <t>Notes / evidence</t>
  </si>
  <si>
    <t>Everything here is calculated from the Contribution Log. Nothing on this tab needs to be typed.</t>
  </si>
  <si>
    <t>PRS MERGED</t>
  </si>
  <si>
    <t>STORIES TOUCHED</t>
  </si>
  <si>
    <t>STORIES COMPLETE</t>
  </si>
  <si>
    <t>SELF-REVIEWS</t>
  </si>
  <si>
    <t>Contribution by member</t>
  </si>
  <si>
    <t>PRs merged</t>
  </si>
  <si>
    <t>PRs reviewed</t>
  </si>
  <si>
    <t>Features</t>
  </si>
  <si>
    <t>Defect fixes</t>
  </si>
  <si>
    <t>Tests / docs</t>
  </si>
  <si>
    <t>Stories completed</t>
  </si>
  <si>
    <t>First merge</t>
  </si>
  <si>
    <t>Last merge</t>
  </si>
  <si>
    <t>Share of PRs</t>
  </si>
  <si>
    <t>TOTAL</t>
  </si>
  <si>
    <t>TOTAL counts distinct stories, so it can be lower than the column above if two people finished the same story.</t>
  </si>
  <si>
    <t>PRs merged per week</t>
  </si>
  <si>
    <t>Weeks are calculated from the date merged. Blank weeks simply have nothing logged yet.</t>
  </si>
  <si>
    <t>Total</t>
  </si>
  <si>
    <t>W1</t>
  </si>
  <si>
    <t>W2</t>
  </si>
  <si>
    <t>W3</t>
  </si>
  <si>
    <t>W4</t>
  </si>
  <si>
    <t>W5</t>
  </si>
  <si>
    <t>W6</t>
  </si>
  <si>
    <t>W7</t>
  </si>
  <si>
    <t>W8</t>
  </si>
  <si>
    <t>W9</t>
  </si>
  <si>
    <t>W10</t>
  </si>
  <si>
    <t>W11</t>
  </si>
  <si>
    <t>W12</t>
  </si>
  <si>
    <t>W13</t>
  </si>
  <si>
    <t>Where the work went</t>
  </si>
  <si>
    <t>Review health</t>
  </si>
  <si>
    <t>PRs</t>
  </si>
  <si>
    <t>PRs with a named reviewer</t>
  </si>
  <si>
    <t>PRs reviewed by their own author</t>
  </si>
  <si>
    <t>Rows with no reviewer recorded</t>
  </si>
  <si>
    <t>Rows with no story linked</t>
  </si>
  <si>
    <t>Rows missing a plain-English summary</t>
  </si>
  <si>
    <t>The CS-57 board, matched to the 59 committed backlog stories. Status and assignees are a snapshot of docs/Jira.csv; PR counts are live from the Contribution Log. Only the nine Owner cells are typed.</t>
  </si>
  <si>
    <t>WORK ITEMS</t>
  </si>
  <si>
    <t>IN PROGRESS</t>
  </si>
  <si>
    <t>IN REVIEW</t>
  </si>
  <si>
    <t>DONE</t>
  </si>
  <si>
    <t>IN SPRINT W6</t>
  </si>
  <si>
    <t>UNASSIGNED</t>
  </si>
  <si>
    <t>Who owns what</t>
  </si>
  <si>
    <t>Fill in the nine Owner cells once. This is the only typing on this tab.</t>
  </si>
  <si>
    <t>#</t>
  </si>
  <si>
    <t>Work bundle</t>
  </si>
  <si>
    <t>Owner</t>
  </si>
  <si>
    <t>What it covers</t>
  </si>
  <si>
    <t>Stories</t>
  </si>
  <si>
    <t>To do</t>
  </si>
  <si>
    <t>Doing</t>
  </si>
  <si>
    <t>Done</t>
  </si>
  <si>
    <t>1</t>
  </si>
  <si>
    <t>AI task queue</t>
  </si>
  <si>
    <t>Task queue with progress bar; completed / failed / retry</t>
  </si>
  <si>
    <t>2</t>
  </si>
  <si>
    <t>AI provider &amp; failures</t>
  </si>
  <si>
    <t>Annotation failure and the fake bounding-box fallback; integrate labeling_ai_assistnat_mvp</t>
  </si>
  <si>
    <t>3</t>
  </si>
  <si>
    <t>Project setup &amp; status UI</t>
  </si>
  <si>
    <t>Project / policy / task update, dataset upload, status page</t>
  </si>
  <si>
    <t>4</t>
  </si>
  <si>
    <t>Task &amp; item backend</t>
  </si>
  <si>
    <t>Illegal item status, cross-project writes, non-transactional task registration, missing transition out of draft, task-item routes and services</t>
  </si>
  <si>
    <t>5</t>
  </si>
  <si>
    <t>Annotation page &amp; judgement</t>
  </si>
  <si>
    <t>Annotation page with judgement feedback or justification</t>
  </si>
  <si>
    <t>6</t>
  </si>
  <si>
    <t>Draft ownership &amp; verdict</t>
  </si>
  <si>
    <t>Finalised annotation overwrite, draft ownership, judgement verdict and feedback</t>
  </si>
  <si>
    <t>7</t>
  </si>
  <si>
    <t>Review, permissions &amp; dispute</t>
  </si>
  <si>
    <t>Reviewer correction, avoid self-review, review action, permission and dispute</t>
  </si>
  <si>
    <t>8</t>
  </si>
  <si>
    <t>Audit &amp; history</t>
  </si>
  <si>
    <t>Audit and history</t>
  </si>
  <si>
    <t>9</t>
  </si>
  <si>
    <t>Release &amp; export</t>
  </si>
  <si>
    <t>Release and export</t>
  </si>
  <si>
    <t>-</t>
  </si>
  <si>
    <t>Unallocated</t>
  </si>
  <si>
    <t>Not in the allocation document. Assign these before they become a surprise.</t>
  </si>
  <si>
    <t>Committed scope</t>
  </si>
  <si>
    <t>Done counts what the board says is done. A story with no ticket cannot be done.</t>
  </si>
  <si>
    <t>By epic</t>
  </si>
  <si>
    <t>Priority</t>
  </si>
  <si>
    <t>On board</t>
  </si>
  <si>
    <t>% done</t>
  </si>
  <si>
    <t>P0 - committed core</t>
  </si>
  <si>
    <t>A - Trustworthy Foundations</t>
  </si>
  <si>
    <t>P1</t>
  </si>
  <si>
    <t>B - Setting Up Work</t>
  </si>
  <si>
    <t>P2 - nice to have</t>
  </si>
  <si>
    <t>C - AI-Assisted First Pass</t>
  </si>
  <si>
    <t>All stories</t>
  </si>
  <si>
    <t>D - Review &amp; Cross-Validation</t>
  </si>
  <si>
    <t>E - Disagreement &amp; Dispute</t>
  </si>
  <si>
    <t>F - Provenance &amp; History</t>
  </si>
  <si>
    <t>G - Roles, Permissions &amp; Organisations</t>
  </si>
  <si>
    <t>H - Release &amp; Export</t>
  </si>
  <si>
    <t>I - Evaluation</t>
  </si>
  <si>
    <t>J - Organisations &amp; Dashboard</t>
  </si>
  <si>
    <t>K - Evidence &amp; Handover</t>
  </si>
  <si>
    <t>Waiting for a ticket</t>
  </si>
  <si>
    <t>Committed stories with nothing on the board. Nobody is working on these, because there is nothing to pick up.</t>
  </si>
  <si>
    <t>None</t>
  </si>
  <si>
    <t>Every committed story that is not dropped has at least one ticket on the board.</t>
  </si>
  <si>
    <t>Dropped</t>
  </si>
  <si>
    <t>6 stories the team dropped, so no ticket is expected: A1 A5 K1 K2 K3 K4</t>
  </si>
  <si>
    <t>Workload by person</t>
  </si>
  <si>
    <t>Issues assigned on the board, beside PRs actually logged. Both count the same eight people.</t>
  </si>
  <si>
    <t>Assigned</t>
  </si>
  <si>
    <t>In review</t>
  </si>
  <si>
    <t>In sprint</t>
  </si>
  <si>
    <t>Bundles touched</t>
  </si>
  <si>
    <t>PRs logged</t>
  </si>
  <si>
    <t>Reviews</t>
  </si>
  <si>
    <t>Review, permissions &amp; dispute, Task &amp; item backend</t>
  </si>
  <si>
    <t>Draft ownership &amp; verdict, Unallocated</t>
  </si>
  <si>
    <t>Nobody assigned</t>
  </si>
  <si>
    <t>55 of 73 issues on the board have no owner - including every Evaluation issue and the whole AI task queue.</t>
  </si>
  <si>
    <t>Every issue on the board</t>
  </si>
  <si>
    <t>Issue</t>
  </si>
  <si>
    <t>Type</t>
  </si>
  <si>
    <t>Status</t>
  </si>
  <si>
    <t>Assignee</t>
  </si>
  <si>
    <t>Sprint</t>
  </si>
  <si>
    <t>Jira epic</t>
  </si>
  <si>
    <t>Summary</t>
  </si>
  <si>
    <t>Backlog story</t>
  </si>
  <si>
    <t>Matched from</t>
  </si>
  <si>
    <t>SCRUM-1</t>
  </si>
  <si>
    <t>Task</t>
  </si>
  <si>
    <t>To Do</t>
  </si>
  <si>
    <t>AI Annotation Pipeline</t>
  </si>
  <si>
    <t>Task queue: Create AI batch job and per-item job status models</t>
  </si>
  <si>
    <t>description</t>
  </si>
  <si>
    <t>SCRUM-2</t>
  </si>
  <si>
    <t>Task queue: Execute task annotation asynchronously through a worker</t>
  </si>
  <si>
    <t>SCRUM-3</t>
  </si>
  <si>
    <t>Task queue: Retry failed items and preserve permanent failures</t>
  </si>
  <si>
    <t>SCRUM-4</t>
  </si>
  <si>
    <t>Subtask</t>
  </si>
  <si>
    <t xml:space="preserve">    Subtask 2.1</t>
  </si>
  <si>
    <t>SCRUM-5</t>
  </si>
  <si>
    <t>Task queue: Display batch progress and per-item job status</t>
  </si>
  <si>
    <t>SCRUM-6</t>
  </si>
  <si>
    <t>In Progress</t>
  </si>
  <si>
    <t>Annotation &amp; Human Judgement</t>
  </si>
  <si>
    <t>AI-Provider: Integrate labeling_ai_assistnat_mvp as an AI provider</t>
  </si>
  <si>
    <t>C1</t>
  </si>
  <si>
    <t>SCRUM-7</t>
  </si>
  <si>
    <t>AI-Provider: Stop generating fake annotations when the AI provider fails</t>
  </si>
  <si>
    <t>SCRUM-8</t>
  </si>
  <si>
    <t>Organisation Management</t>
  </si>
  <si>
    <t>Organisation management:  Invitation &amp; acceptance</t>
  </si>
  <si>
    <t>G5</t>
  </si>
  <si>
    <t>SCRUM-20</t>
  </si>
  <si>
    <t>Project, Policy &amp; Task Lifecycle</t>
  </si>
  <si>
    <t>Project &amp; Policy: Configure project review and annotation policies</t>
  </si>
  <si>
    <t>B2</t>
  </si>
  <si>
    <t>SCRUM-21</t>
  </si>
  <si>
    <t>Jingwei Lin</t>
  </si>
  <si>
    <t>Task Lifecycle: Prevent cross-project task and task-item writes</t>
  </si>
  <si>
    <t>G3</t>
  </si>
  <si>
    <t>SCRUM-22</t>
  </si>
  <si>
    <t>Task Lifecycle: Validate task-item status before database commit</t>
  </si>
  <si>
    <t>G4</t>
  </si>
  <si>
    <t>SCRUM-23</t>
  </si>
  <si>
    <t>Kanishka Kathait</t>
  </si>
  <si>
    <t>Task Lifecycle: Preserve lifecycle conflict responses as HTTP 409</t>
  </si>
  <si>
    <t>B5</t>
  </si>
  <si>
    <t>SCRUM-24</t>
  </si>
  <si>
    <t>Task Lifecycle: Implement valid task lifecycle transitions</t>
  </si>
  <si>
    <t>B4</t>
  </si>
  <si>
    <t>SCRUM-25</t>
  </si>
  <si>
    <t>Annotation: Enforce draft ownership</t>
  </si>
  <si>
    <t>D6</t>
  </si>
  <si>
    <t>SCRUM-26</t>
  </si>
  <si>
    <t>Annotation: Make draft submission and annotation creation atomic</t>
  </si>
  <si>
    <t>D5</t>
  </si>
  <si>
    <t>SCRUM-27</t>
  </si>
  <si>
    <t>Review, Dispute &amp; Adjudication</t>
  </si>
  <si>
    <t>Review / Annotation: Reviewer should be able to select the correct submitted annotation</t>
  </si>
  <si>
    <t>D4</t>
  </si>
  <si>
    <t>SCRUM-28</t>
  </si>
  <si>
    <t>Annotation: Preventing finalized annotations from being overwritten</t>
  </si>
  <si>
    <t>SCRUM-29</t>
  </si>
  <si>
    <t>Review: Retire or restrict legacy review mutation endpoints</t>
  </si>
  <si>
    <t>D2</t>
  </si>
  <si>
    <t>SCRUM-30</t>
  </si>
  <si>
    <t>AI-Provider: Store &amp; Display AI suggestions, failures and unavailable states</t>
  </si>
  <si>
    <t>SCRUM-31</t>
  </si>
  <si>
    <t>Review: Record verdict, feedback &amp; justification</t>
  </si>
  <si>
    <t>C5</t>
  </si>
  <si>
    <t>SCRUM-32</t>
  </si>
  <si>
    <t>Review: Persist reviewer corrections as structured data</t>
  </si>
  <si>
    <t>D3</t>
  </si>
  <si>
    <t>SCRUM-34</t>
  </si>
  <si>
    <t>Task Lifecycle: Make dataset registration transactional</t>
  </si>
  <si>
    <t>SCRUM-35</t>
  </si>
  <si>
    <t>Dispute / Annotation: Implement "Dispute &amp; send back to annotator"</t>
  </si>
  <si>
    <t>E2</t>
  </si>
  <si>
    <t>SCRUM-36</t>
  </si>
  <si>
    <t>Dispute: Basic Functionality</t>
  </si>
  <si>
    <t>E1, E3, E4, E5, E6</t>
  </si>
  <si>
    <t>SCRUM-37</t>
  </si>
  <si>
    <t>Provenance &amp; Audit History</t>
  </si>
  <si>
    <t>Provenance: Guarantee one canonical answer per task item</t>
  </si>
  <si>
    <t>H4</t>
  </si>
  <si>
    <t>SCRUM-38</t>
  </si>
  <si>
    <t>Provenance: Preserve AI, annotator, reviewer and adjudicator outputs separately</t>
  </si>
  <si>
    <t>F3</t>
  </si>
  <si>
    <t>SCRUM-39</t>
  </si>
  <si>
    <t>Provenance: Item-level provenance timeline</t>
  </si>
  <si>
    <t>F1, F5</t>
  </si>
  <si>
    <t>both</t>
  </si>
  <si>
    <t>SCRUM-40</t>
  </si>
  <si>
    <t>Provenance: Record correct audit actor types</t>
  </si>
  <si>
    <t>F4</t>
  </si>
  <si>
    <t>SCRUM-41</t>
  </si>
  <si>
    <t>Provenance: Remove duplicate escalation audit changes</t>
  </si>
  <si>
    <t>SCRUM-42</t>
  </si>
  <si>
    <t>Dataset Release &amp; Export</t>
  </si>
  <si>
    <t>Release &amp; Export: Basic functionality</t>
  </si>
  <si>
    <t>H1, H2, H3, H6</t>
  </si>
  <si>
    <t>SCRUM-43</t>
  </si>
  <si>
    <t>Release &amp; Export: Align task completion and export readiness</t>
  </si>
  <si>
    <t>B6, H5</t>
  </si>
  <si>
    <t>backlog CSV</t>
  </si>
  <si>
    <t>SCRUM-44</t>
  </si>
  <si>
    <t>In Review</t>
  </si>
  <si>
    <t>Organisation Management: Users can only perform actions that are permitted by their roles.</t>
  </si>
  <si>
    <t>G1</t>
  </si>
  <si>
    <t>SCRUM-45</t>
  </si>
  <si>
    <t>Project lifecycle: Update and archive a project</t>
  </si>
  <si>
    <t>J4</t>
  </si>
  <si>
    <t>SCRUM-46</t>
  </si>
  <si>
    <t>Task queue: Trigger an AI run and route completed items to review</t>
  </si>
  <si>
    <t>SCRUM-47</t>
  </si>
  <si>
    <t>Annotation: Connect the existing text annotation page to live APIs</t>
  </si>
  <si>
    <t>SCRUM-48</t>
  </si>
  <si>
    <t>Review: Assign or claim work and provide role queues</t>
  </si>
  <si>
    <t>D8</t>
  </si>
  <si>
    <t>SCRUM-49</t>
  </si>
  <si>
    <t>Review: Execute accept, adjust, reject and dispute transitions</t>
  </si>
  <si>
    <t>C5, D3, E1</t>
  </si>
  <si>
    <t>SCRUM-50</t>
  </si>
  <si>
    <t>Policy: Apply configured governance rules</t>
  </si>
  <si>
    <t>B2, G2</t>
  </si>
  <si>
    <t>SCRUM-51</t>
  </si>
  <si>
    <t>Review: Independent second reviewer</t>
  </si>
  <si>
    <t>D7, E1</t>
  </si>
  <si>
    <t>SCRUM-52</t>
  </si>
  <si>
    <t>Dispute: Adjudicator queue and authorization</t>
  </si>
  <si>
    <t>D8, E3, E6, G1</t>
  </si>
  <si>
    <t>SCRUM-53</t>
  </si>
  <si>
    <t>Provenance: Source versioning</t>
  </si>
  <si>
    <t>F2</t>
  </si>
  <si>
    <t>SCRUM-54</t>
  </si>
  <si>
    <t xml:space="preserve">    Define the AnnotationAssistant interface</t>
  </si>
  <si>
    <t>parent ticket</t>
  </si>
  <si>
    <t>SCRUM-55</t>
  </si>
  <si>
    <t xml:space="preserve">    Replace the Gemini call with an OpenAI-compatible client</t>
  </si>
  <si>
    <t>SCRUM-56</t>
  </si>
  <si>
    <t xml:space="preserve">    Port the MVP's four text tasks behind the interface</t>
  </si>
  <si>
    <t>SCRUM-57</t>
  </si>
  <si>
    <t xml:space="preserve">    Dispute: Detect reviewer disagreement automatically</t>
  </si>
  <si>
    <t>SCRUM-58</t>
  </si>
  <si>
    <t xml:space="preserve">    Dispute: Record an expert adjudication as its own decision</t>
  </si>
  <si>
    <t>SCRUM-59</t>
  </si>
  <si>
    <t xml:space="preserve">    Dispute: Keep the disagreement after the dispute is resolved</t>
  </si>
  <si>
    <t>SCRUM-60</t>
  </si>
  <si>
    <t xml:space="preserve">    Dispute: Make the escalation posture configurable and enforced</t>
  </si>
  <si>
    <t>SCRUM-61</t>
  </si>
  <si>
    <t xml:space="preserve">    Dispute: Connect the dispute and arbitration screens</t>
  </si>
  <si>
    <t>SCRUM-62</t>
  </si>
  <si>
    <t xml:space="preserve">    Provenance: Record the production history of every label</t>
  </si>
  <si>
    <t>F1</t>
  </si>
  <si>
    <t>SCRUM-63</t>
  </si>
  <si>
    <t xml:space="preserve">    Provenance: Show an item's whole timeline on one screen</t>
  </si>
  <si>
    <t>SCRUM-64</t>
  </si>
  <si>
    <t xml:space="preserve">    Release: Create an immutable release artefact</t>
  </si>
  <si>
    <t>H1</t>
  </si>
  <si>
    <t>SCRUM-65</t>
  </si>
  <si>
    <t xml:space="preserve">    Release: Produce a manifest for every release</t>
  </si>
  <si>
    <t>SCRUM-66</t>
  </si>
  <si>
    <t xml:space="preserve">    Release: Refuse a release that fails its pre-release checks</t>
  </si>
  <si>
    <t>SCRUM-67</t>
  </si>
  <si>
    <t xml:space="preserve">    Release: Show real releases, policy and history on the project screens</t>
  </si>
  <si>
    <t>SCRUM-68</t>
  </si>
  <si>
    <t>Evaluation Harness and Casebook</t>
  </si>
  <si>
    <t>Evaluation1: Scenario harness that drives the workflow end to end</t>
  </si>
  <si>
    <t>I1</t>
  </si>
  <si>
    <t>SCRUM-69</t>
  </si>
  <si>
    <t>Evaluation2: Repeatable runs and regression reporting</t>
  </si>
  <si>
    <t>SCRUM-70</t>
  </si>
  <si>
    <t>Evaluation3: Casebook structure and the adversarial categories</t>
  </si>
  <si>
    <t>I2</t>
  </si>
  <si>
    <t>SCRUM-71</t>
  </si>
  <si>
    <t>Evaluation4: Grow the casebook to 40–60 cases</t>
  </si>
  <si>
    <t>SCRUM-72</t>
  </si>
  <si>
    <t>Evaluation5: Reviewer agreement and AI suggestion quality</t>
  </si>
  <si>
    <t>I3</t>
  </si>
  <si>
    <t>SCRUM-73</t>
  </si>
  <si>
    <t>Evaluation6: Measure what AI assistance does to human judgement</t>
  </si>
  <si>
    <t>I4</t>
  </si>
  <si>
    <t>SCRUM-74</t>
  </si>
  <si>
    <t>Evaluation7: Integrity checks on provenance, roles and releases</t>
  </si>
  <si>
    <t>I5</t>
  </si>
  <si>
    <t>SCRUM-75</t>
  </si>
  <si>
    <t>Evaluation8: Findings record including negative results</t>
  </si>
  <si>
    <t>SCRUM-81</t>
  </si>
  <si>
    <t>Trustworthy Foundations</t>
  </si>
  <si>
    <t>Schema: Fix db setup issues</t>
  </si>
  <si>
    <t>A3</t>
  </si>
  <si>
    <t>SCRUM-82</t>
  </si>
  <si>
    <t>Schema: Restore existing testcases</t>
  </si>
  <si>
    <t>A2</t>
  </si>
  <si>
    <t>SCRUM-84</t>
  </si>
  <si>
    <t>Schema: Replace hardcoded credentials</t>
  </si>
  <si>
    <t>A4</t>
  </si>
  <si>
    <t>SCRUM-85</t>
  </si>
  <si>
    <t>Task lifecycle: Create annotation and judgement tasks with a result shape</t>
  </si>
  <si>
    <t>B3</t>
  </si>
  <si>
    <t>SCRUM-86</t>
  </si>
  <si>
    <t>Review: Prevent self-review of own annotations</t>
  </si>
  <si>
    <t>D1</t>
  </si>
  <si>
    <t>SCRUM-87</t>
  </si>
  <si>
    <t>Annotation: Configurable AI suggestion visibility</t>
  </si>
  <si>
    <t>C4</t>
  </si>
  <si>
    <t>SCRUM-88</t>
  </si>
  <si>
    <t>Organisation Management: Stable organisation identifier and URL</t>
  </si>
  <si>
    <t>J1</t>
  </si>
  <si>
    <t>SCRUM-89</t>
  </si>
  <si>
    <t>Project: Overview of status and progress</t>
  </si>
  <si>
    <t>J2</t>
  </si>
  <si>
    <t>SCRUM-90</t>
  </si>
  <si>
    <t>Organisation Management: Invite, remove and role-manage members</t>
  </si>
  <si>
    <t>J3</t>
  </si>
  <si>
    <t>SCRUM-91</t>
  </si>
  <si>
    <t>Project lifecycle: Create a project scoped to an organisation</t>
  </si>
  <si>
    <t>B1</t>
  </si>
  <si>
    <t>Set the two dates below. Everything else recalculates for that period - ready to paste into the Status Checking form or the weekly client meeting.</t>
  </si>
  <si>
    <t>Reporting period starts</t>
  </si>
  <si>
    <t>&lt;- type the two dates here</t>
  </si>
  <si>
    <t>Reporting period ends</t>
  </si>
  <si>
    <t>This period at a glance</t>
  </si>
  <si>
    <t>Delivery by epic, this period</t>
  </si>
  <si>
    <t>Stories done</t>
  </si>
  <si>
    <t>Members who merged</t>
  </si>
  <si>
    <t>Defect-fix PRs</t>
  </si>
  <si>
    <t>Feature PRs</t>
  </si>
  <si>
    <t>PRs reviewed by a second person</t>
  </si>
  <si>
    <t>Individual contribution, this period</t>
  </si>
  <si>
    <t>Reviews given</t>
  </si>
  <si>
    <t>Main area</t>
  </si>
  <si>
    <t>What they delivered (write this before the client meeting)</t>
  </si>
  <si>
    <t>Narrative for the Status Checking form</t>
  </si>
  <si>
    <t>Cream cells are written by the leads before each client meeting. The numbers above are the evidence behind them.</t>
  </si>
  <si>
    <t>Progress and achievements</t>
  </si>
  <si>
    <t>Obstacles and risks</t>
  </si>
  <si>
    <t>Next steps and milestones</t>
  </si>
  <si>
    <t>Decisions needed from the client</t>
  </si>
  <si>
    <t>Members</t>
  </si>
  <si>
    <t>Week 1 Monday</t>
  </si>
  <si>
    <t>Role</t>
  </si>
  <si>
    <t>SCRUM ticket(s)</t>
  </si>
  <si>
    <t>Starts (Mon)</t>
  </si>
  <si>
    <t>Ends (Sun)</t>
  </si>
  <si>
    <t>Jira status</t>
  </si>
  <si>
    <t>hej-web (frontend)</t>
  </si>
  <si>
    <t>A</t>
  </si>
  <si>
    <t>(not tied to a backlog story)</t>
  </si>
  <si>
    <t>Check this date once, then leave it alone.</t>
  </si>
  <si>
    <t>hej-api (backend)</t>
  </si>
  <si>
    <t>B</t>
  </si>
  <si>
    <t>A1</t>
  </si>
  <si>
    <t>P0</t>
  </si>
  <si>
    <t>Lead</t>
  </si>
  <si>
    <t>Changes are reviewed before they reach the platform</t>
  </si>
  <si>
    <t>Every Week number is counted from here.</t>
  </si>
  <si>
    <t>Refactor</t>
  </si>
  <si>
    <t>packages/ui</t>
  </si>
  <si>
    <t>C</t>
  </si>
  <si>
    <t>SC</t>
  </si>
  <si>
    <t>I can trust that a fix in one place hasn't broken another</t>
  </si>
  <si>
    <t>To check it: look at the week calendar in columns T-V.</t>
  </si>
  <si>
    <t>Tests</t>
  </si>
  <si>
    <t>labeling_ai_assistnat_mvp (AI)</t>
  </si>
  <si>
    <t>D</t>
  </si>
  <si>
    <t>I can get a working copy of the platform running by myself</t>
  </si>
  <si>
    <t>In progress</t>
  </si>
  <si>
    <t>W6 should read Mon 7 Sep 2026, and W13 should be the last week.</t>
  </si>
  <si>
    <t>Documentation</t>
  </si>
  <si>
    <t>Database / schema</t>
  </si>
  <si>
    <t>E</t>
  </si>
  <si>
    <t>Platform credentials aren't sitting in shared code</t>
  </si>
  <si>
    <t>Spike / Research</t>
  </si>
  <si>
    <t>CI / tooling</t>
  </si>
  <si>
    <t>F</t>
  </si>
  <si>
    <t>A5</t>
  </si>
  <si>
    <t>A status means the same thing wherever I see it</t>
  </si>
  <si>
    <t>DevOps / CI</t>
  </si>
  <si>
    <t>Docs / report</t>
  </si>
  <si>
    <t>G</t>
  </si>
  <si>
    <t>BE/FE</t>
  </si>
  <si>
    <t>I can create a project to hold related work</t>
  </si>
  <si>
    <t>Other</t>
  </si>
  <si>
    <t>H</t>
  </si>
  <si>
    <t>BE</t>
  </si>
  <si>
    <t>I can decide how carefully my project's work gets reviewed</t>
  </si>
  <si>
    <t>SCRUM-20, SCRUM-50</t>
  </si>
  <si>
    <t>I</t>
  </si>
  <si>
    <t>I can create a task for a specific piece of work</t>
  </si>
  <si>
    <t>J</t>
  </si>
  <si>
    <t>My task moves through real states, not just “draft”</t>
  </si>
  <si>
    <t>K</t>
  </si>
  <si>
    <t>Loading a dataset either works or leaves nothing behind</t>
  </si>
  <si>
    <t>SCRUM-23, SCRUM-34</t>
  </si>
  <si>
    <t>B6</t>
  </si>
  <si>
    <t>“Done” means the same thing everywhere I look</t>
  </si>
  <si>
    <t>The AI assistant can be swapped without disrupting my work</t>
  </si>
  <si>
    <t>A large batch of items gets AI-annotated reliably</t>
  </si>
  <si>
    <t>SCRUM-1, SCRUM-2, SCRUM-3, SCRUM-5, SCRUM-46</t>
  </si>
  <si>
    <t>End</t>
  </si>
  <si>
    <t>I'm told when the AI failed instead of being shown a fake answer</t>
  </si>
  <si>
    <t>SCRUM-7, SCRUM-30</t>
  </si>
  <si>
    <t>Project ends at the close of W13.</t>
  </si>
  <si>
    <t>I can control whether reviewers see the AI's answer first</t>
  </si>
  <si>
    <t>I can record why I decided, not just what I decided</t>
  </si>
  <si>
    <t>SCRUM-31, SCRUM-49</t>
  </si>
  <si>
    <t>I can't approve my own work</t>
  </si>
  <si>
    <t>Approval history can't be rewritten behind my back</t>
  </si>
  <si>
    <t>The correction I make is the answer that gets saved</t>
  </si>
  <si>
    <t>SCRUM-32, SCRUM-49</t>
  </si>
  <si>
    <t>I know I'm reviewing the right person's work</t>
  </si>
  <si>
    <t>Finalised means finalised</t>
  </si>
  <si>
    <t>SCRUM-26, SCRUM-28</t>
  </si>
  <si>
    <t>My unfinished work is mine</t>
  </si>
  <si>
    <t>D7</t>
  </si>
  <si>
    <t>A defined share of items gets independently double-checked</t>
  </si>
  <si>
    <t>Work reaches the right person</t>
  </si>
  <si>
    <t>SCRUM-48, SCRUM-52</t>
  </si>
  <si>
    <t>E1</t>
  </si>
  <si>
    <t>Disagreement is noticed without anyone reporting it</t>
  </si>
  <si>
    <t>SCRUM-36, SCRUM-49, SCRUM-51</t>
  </si>
  <si>
    <t>FE</t>
  </si>
  <si>
    <t>I can send an item back to the annotator</t>
  </si>
  <si>
    <t>E3</t>
  </si>
  <si>
    <t>An expert's decision is recorded as its own decision</t>
  </si>
  <si>
    <t>SCRUM-36, SCRUM-52</t>
  </si>
  <si>
    <t>E4</t>
  </si>
  <si>
    <t>Resolving a dispute doesn't erase the disagreement</t>
  </si>
  <si>
    <t>E5</t>
  </si>
  <si>
    <t>Escalation matches the assurance my project needs</t>
  </si>
  <si>
    <t>E6</t>
  </si>
  <si>
    <t>The dispute and arbitration screens show my real cases</t>
  </si>
  <si>
    <t>I can ask how any label came to exist</t>
  </si>
  <si>
    <t>Annotations remember which guideline they followed</t>
  </si>
  <si>
    <t>The AI's suggestion, the human's answer and the reviewer's correction stay separate</t>
  </si>
  <si>
    <t>History tells me who really did what</t>
  </si>
  <si>
    <t>SCRUM-40, SCRUM-41</t>
  </si>
  <si>
    <t>F5</t>
  </si>
  <si>
    <t>I can see an item's whole story on one screen</t>
  </si>
  <si>
    <t>My role determines what I can do</t>
  </si>
  <si>
    <t>SCRUM-44, SCRUM-52</t>
  </si>
  <si>
    <t>G2</t>
  </si>
  <si>
    <t>My project's governance posture actually governs</t>
  </si>
  <si>
    <t>My work stays inside my project</t>
  </si>
  <si>
    <t>BE/SC</t>
  </si>
  <si>
    <t>The platform refuses states that can't exist</t>
  </si>
  <si>
    <t>I can actually invite someone into my organisation</t>
  </si>
  <si>
    <t>A release is a fixed thing I can point at</t>
  </si>
  <si>
    <t>H2</t>
  </si>
  <si>
    <t>Every release explains what's in it</t>
  </si>
  <si>
    <t>H3</t>
  </si>
  <si>
    <t>A release that shouldn't exist is refused</t>
  </si>
  <si>
    <t>Every released item has exactly one authoritative answer</t>
  </si>
  <si>
    <t>H5</t>
  </si>
  <si>
    <t>Export figures agree with the rest of the platform</t>
  </si>
  <si>
    <t>H6</t>
  </si>
  <si>
    <t>The export, policy and history screens show real data</t>
  </si>
  <si>
    <t>GOV</t>
  </si>
  <si>
    <t>I can re-run the whole workflow against known cases</t>
  </si>
  <si>
    <t>SCRUM-68, SCRUM-69</t>
  </si>
  <si>
    <t>The platform is tested against cases designed to break it</t>
  </si>
  <si>
    <t>SCRUM-70, SCRUM-71</t>
  </si>
  <si>
    <t>I can tell whether reviewers actually agree</t>
  </si>
  <si>
    <t>I can see what AI assistance does to human judgement</t>
  </si>
  <si>
    <t>I can prove the platform's records hold up</t>
  </si>
  <si>
    <t>SCRUM-74, SCRUM-75</t>
  </si>
  <si>
    <t>P2</t>
  </si>
  <si>
    <t>My organisation has a stable identity</t>
  </si>
  <si>
    <t>I can see how my project is going at a glance</t>
  </si>
  <si>
    <t>I can invite and manage my team</t>
  </si>
  <si>
    <t>I can maintain a project after creating it</t>
  </si>
  <si>
    <t>K1</t>
  </si>
  <si>
    <t>A reader can understand the system without us in the room</t>
  </si>
  <si>
    <t>all</t>
  </si>
  <si>
    <t>Each of us can defend our own design decisions</t>
  </si>
  <si>
    <t>K3</t>
  </si>
  <si>
    <t>What didn't work is recorded as carefully as what did</t>
  </si>
  <si>
    <t>K4</t>
  </si>
  <si>
    <t>The end-to-end demonstration works when it matters</t>
  </si>
  <si>
    <t>Users now can only perform actions that the role allowed them to do.</t>
  </si>
  <si>
    <t>12,13,25,26</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</si>
</sst>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ddd\ d\ mmm\ yyyy"/>
  </numFmts>
  <fonts count="13" x14ac:knownFonts="1">
    <font>
      <sz val="11"/>
      <color theme="1"/>
      <name val="宋体"/>
      <family val="2"/>
      <scheme val="minor"/>
    </font>
    <font>
      <b/>
      <sz val="16"/>
      <color rgb="FF1F3A5F"/>
      <name val="Calibri"/>
    </font>
    <font>
      <i/>
      <sz val="10"/>
      <color rgb="FF555555"/>
      <name val="Calibri"/>
    </font>
    <font>
      <b/>
      <sz val="12"/>
      <color rgb="FF1F3A5F"/>
      <name val="Calibri"/>
    </font>
    <font>
      <sz val="10"/>
      <name val="Calibri"/>
    </font>
    <font>
      <b/>
      <sz val="10"/>
      <name val="Calibri"/>
    </font>
    <font>
      <b/>
      <sz val="10"/>
      <color rgb="FFFFFFFF"/>
      <name val="Calibri"/>
    </font>
    <font>
      <i/>
      <sz val="9"/>
      <color rgb="FF666666"/>
      <name val="Calibri"/>
    </font>
    <font>
      <b/>
      <sz val="11"/>
      <color rgb="FFB04A00"/>
      <name val="Calibri"/>
    </font>
    <font>
      <b/>
      <sz val="9"/>
      <color rgb="FFFFFFFF"/>
      <name val="Calibri"/>
    </font>
    <font>
      <b/>
      <sz val="20"/>
      <color rgb="FF1F3A5F"/>
      <name val="Calibri"/>
    </font>
    <font>
      <sz val="9"/>
      <name val="宋体"/>
      <family val="3"/>
      <charset val="134"/>
      <scheme val="minor"/>
    </font>
    <font>
      <sz val="10"/>
      <name val="Calibri"/>
      <family val="2"/>
    </font>
  </fonts>
  <fills count="8">
    <fill>
      <patternFill patternType="none"/>
    </fill>
    <fill>
      <patternFill patternType="gray125"/>
    </fill>
    <fill>
      <patternFill patternType="solid">
        <fgColor rgb="FFE8ECF1"/>
      </patternFill>
    </fill>
    <fill>
      <patternFill patternType="solid">
        <fgColor rgb="FF4A6785"/>
      </patternFill>
    </fill>
    <fill>
      <patternFill patternType="solid">
        <fgColor rgb="FFFBF7EC"/>
      </patternFill>
    </fill>
    <fill>
      <patternFill patternType="solid">
        <fgColor rgb="FF1F3A5F"/>
      </patternFill>
    </fill>
    <fill>
      <patternFill patternType="solid">
        <fgColor rgb="FFF2F5F8"/>
      </patternFill>
    </fill>
    <fill>
      <patternFill patternType="solid">
        <fgColor rgb="FFD7EAD9"/>
      </patternFill>
    </fill>
  </fills>
  <borders count="4">
    <border>
      <left/>
      <right/>
      <top/>
      <bottom/>
      <diagonal/>
    </border>
    <border>
      <left style="thin">
        <color rgb="FFC9D2DC"/>
      </left>
      <right style="thin">
        <color rgb="FFC9D2DC"/>
      </right>
      <top style="thin">
        <color rgb="FFC9D2DC"/>
      </top>
      <bottom style="thin">
        <color rgb="FFC9D2DC"/>
      </bottom>
      <diagonal/>
    </border>
    <border>
      <left style="thin">
        <color rgb="FFC9D2DC"/>
      </left>
      <right style="thin">
        <color rgb="FFC9D2DC"/>
      </right>
      <top/>
      <bottom/>
      <diagonal/>
    </border>
    <border>
      <left style="thin">
        <color rgb="FFC9D2DC"/>
      </left>
      <right style="thin">
        <color rgb="FFC9D2DC"/>
      </right>
      <top/>
      <bottom style="thin">
        <color rgb="FFC9D2DC"/>
      </bottom>
      <diagonal/>
    </border>
  </borders>
  <cellStyleXfs count="1">
    <xf numFmtId="0" fontId="0" fillId="0" borderId="0"/>
  </cellStyleXfs>
  <cellXfs count="6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5" fillId="2" borderId="0" xfId="0" applyFont="1" applyFill="1" applyAlignment="1">
      <alignment vertical="top" wrapText="1"/>
    </xf>
    <xf numFmtId="0" fontId="6" fillId="3" borderId="1" xfId="0" applyFont="1" applyFill="1" applyBorder="1" applyAlignment="1">
      <alignment horizontal="center" vertical="center" wrapText="1"/>
    </xf>
    <xf numFmtId="0" fontId="4" fillId="0" borderId="1" xfId="0" applyFont="1" applyBorder="1" applyAlignment="1">
      <alignment vertical="top" wrapText="1"/>
    </xf>
    <xf numFmtId="0" fontId="6" fillId="5" borderId="1" xfId="0" applyFont="1" applyFill="1" applyBorder="1" applyAlignment="1">
      <alignment horizontal="center" vertical="center" wrapText="1"/>
    </xf>
    <xf numFmtId="176" fontId="4" fillId="0" borderId="1" xfId="0" applyNumberFormat="1" applyFont="1" applyBorder="1" applyAlignment="1">
      <alignment vertical="top"/>
    </xf>
    <xf numFmtId="0" fontId="4" fillId="6" borderId="1" xfId="0" applyFont="1" applyFill="1" applyBorder="1" applyAlignment="1">
      <alignment horizontal="center" vertical="center"/>
    </xf>
    <xf numFmtId="0" fontId="4" fillId="0" borderId="1" xfId="0" applyFont="1" applyBorder="1" applyAlignment="1">
      <alignment vertical="top"/>
    </xf>
    <xf numFmtId="0" fontId="4" fillId="0" borderId="1" xfId="0" applyFont="1" applyBorder="1" applyAlignment="1">
      <alignment horizontal="center" vertical="center"/>
    </xf>
    <xf numFmtId="0" fontId="4" fillId="6" borderId="1" xfId="0" applyFont="1" applyFill="1" applyBorder="1" applyAlignment="1">
      <alignment vertical="top" wrapText="1"/>
    </xf>
    <xf numFmtId="0" fontId="1" fillId="0" borderId="0" xfId="0" applyFont="1"/>
    <xf numFmtId="0" fontId="2" fillId="0" borderId="0" xfId="0" applyFont="1"/>
    <xf numFmtId="0" fontId="3" fillId="0" borderId="0" xfId="0" applyFont="1"/>
    <xf numFmtId="0" fontId="5" fillId="2" borderId="1" xfId="0" applyFont="1" applyFill="1" applyBorder="1" applyAlignment="1">
      <alignment vertical="center"/>
    </xf>
    <xf numFmtId="176" fontId="4" fillId="0" borderId="1" xfId="0" applyNumberFormat="1" applyFont="1" applyBorder="1" applyAlignment="1">
      <alignment horizontal="center" vertical="center"/>
    </xf>
    <xf numFmtId="9" fontId="4" fillId="0" borderId="1" xfId="0" applyNumberFormat="1" applyFont="1" applyBorder="1" applyAlignment="1">
      <alignment horizontal="center" vertical="center"/>
    </xf>
    <xf numFmtId="0" fontId="5" fillId="2" borderId="1" xfId="0" applyFont="1" applyFill="1" applyBorder="1"/>
    <xf numFmtId="0" fontId="5" fillId="2" borderId="1" xfId="0" applyFont="1" applyFill="1" applyBorder="1" applyAlignment="1">
      <alignment horizontal="center" vertical="center"/>
    </xf>
    <xf numFmtId="1" fontId="5" fillId="2" borderId="1" xfId="0" applyNumberFormat="1" applyFont="1" applyFill="1" applyBorder="1" applyAlignment="1">
      <alignment horizontal="center" vertical="center"/>
    </xf>
    <xf numFmtId="0" fontId="7" fillId="0" borderId="0" xfId="0" applyFont="1"/>
    <xf numFmtId="0" fontId="5" fillId="6" borderId="1" xfId="0" applyFont="1" applyFill="1" applyBorder="1" applyAlignment="1">
      <alignment horizontal="center" vertical="center"/>
    </xf>
    <xf numFmtId="0" fontId="4" fillId="0" borderId="1" xfId="0" applyFont="1" applyBorder="1"/>
    <xf numFmtId="1" fontId="5" fillId="6" borderId="1" xfId="0" applyNumberFormat="1" applyFont="1" applyFill="1" applyBorder="1" applyAlignment="1">
      <alignment horizontal="center" vertical="center"/>
    </xf>
    <xf numFmtId="0" fontId="5" fillId="0" borderId="1" xfId="0" applyFont="1" applyBorder="1" applyAlignment="1">
      <alignment vertical="center" wrapText="1"/>
    </xf>
    <xf numFmtId="0" fontId="4" fillId="4" borderId="1" xfId="0" applyFont="1" applyFill="1" applyBorder="1" applyAlignment="1">
      <alignment horizontal="center" vertical="center"/>
    </xf>
    <xf numFmtId="0" fontId="7" fillId="0" borderId="1" xfId="0" applyFont="1" applyBorder="1" applyAlignment="1">
      <alignment vertical="top" wrapText="1"/>
    </xf>
    <xf numFmtId="0" fontId="4" fillId="2" borderId="1" xfId="0" applyFont="1" applyFill="1" applyBorder="1" applyAlignment="1">
      <alignment horizontal="center" vertical="center"/>
    </xf>
    <xf numFmtId="9" fontId="5" fillId="6"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5" fillId="0" borderId="1" xfId="0" applyFont="1" applyBorder="1" applyAlignment="1">
      <alignment horizontal="center" vertical="center"/>
    </xf>
    <xf numFmtId="0" fontId="7" fillId="0" borderId="1" xfId="0" applyFont="1" applyBorder="1" applyAlignment="1">
      <alignment horizontal="center" vertical="center"/>
    </xf>
    <xf numFmtId="176" fontId="8" fillId="4" borderId="1" xfId="0" applyNumberFormat="1" applyFont="1" applyFill="1" applyBorder="1" applyAlignment="1">
      <alignment horizontal="center" vertical="center"/>
    </xf>
    <xf numFmtId="0" fontId="6" fillId="5" borderId="0" xfId="0" applyFont="1" applyFill="1"/>
    <xf numFmtId="0" fontId="4" fillId="0" borderId="0" xfId="0" applyFont="1"/>
    <xf numFmtId="176" fontId="8" fillId="4" borderId="0" xfId="0" applyNumberFormat="1" applyFont="1" applyFill="1"/>
    <xf numFmtId="0" fontId="5" fillId="0" borderId="0" xfId="0" applyFont="1" applyAlignment="1">
      <alignment horizontal="center" vertical="center"/>
    </xf>
    <xf numFmtId="177" fontId="4" fillId="0" borderId="0" xfId="0" applyNumberFormat="1" applyFont="1"/>
    <xf numFmtId="0" fontId="5" fillId="0" borderId="0" xfId="0" applyFont="1"/>
    <xf numFmtId="177" fontId="5" fillId="0" borderId="0" xfId="0" applyNumberFormat="1" applyFont="1"/>
    <xf numFmtId="0" fontId="4" fillId="0" borderId="0" xfId="0" applyFont="1" applyAlignment="1">
      <alignment vertical="top" wrapText="1"/>
    </xf>
    <xf numFmtId="0" fontId="0" fillId="0" borderId="0" xfId="0"/>
    <xf numFmtId="0" fontId="7" fillId="0" borderId="0" xfId="0" applyFont="1" applyAlignment="1">
      <alignment vertical="top" wrapText="1"/>
    </xf>
    <xf numFmtId="0" fontId="9" fillId="3" borderId="0" xfId="0" applyFont="1" applyFill="1" applyAlignment="1">
      <alignment horizontal="center" vertical="center"/>
    </xf>
    <xf numFmtId="0" fontId="0" fillId="3" borderId="0" xfId="0" applyFill="1"/>
    <xf numFmtId="1" fontId="10" fillId="6" borderId="0" xfId="0" applyNumberFormat="1" applyFont="1" applyFill="1" applyAlignment="1">
      <alignment horizontal="center" vertical="center"/>
    </xf>
    <xf numFmtId="0" fontId="0" fillId="6" borderId="0" xfId="0" applyFill="1"/>
    <xf numFmtId="0" fontId="7" fillId="0" borderId="1" xfId="0" applyFont="1" applyBorder="1" applyAlignment="1">
      <alignment vertical="top" wrapText="1"/>
    </xf>
    <xf numFmtId="0" fontId="0" fillId="0" borderId="1" xfId="0" applyBorder="1"/>
    <xf numFmtId="0" fontId="10" fillId="6" borderId="0" xfId="0" applyFont="1" applyFill="1" applyAlignment="1">
      <alignment horizontal="center" vertical="center"/>
    </xf>
    <xf numFmtId="0" fontId="4" fillId="7" borderId="1" xfId="0" applyFont="1" applyFill="1" applyBorder="1" applyAlignment="1">
      <alignment vertical="top" wrapText="1"/>
    </xf>
    <xf numFmtId="0" fontId="0" fillId="7" borderId="1" xfId="0" applyFill="1" applyBorder="1"/>
    <xf numFmtId="0" fontId="7" fillId="2" borderId="1" xfId="0" applyFont="1" applyFill="1" applyBorder="1" applyAlignment="1">
      <alignment vertical="top" wrapText="1"/>
    </xf>
    <xf numFmtId="0" fontId="0" fillId="2" borderId="1" xfId="0" applyFill="1" applyBorder="1"/>
    <xf numFmtId="0" fontId="6" fillId="5" borderId="1" xfId="0" applyFont="1" applyFill="1" applyBorder="1" applyAlignment="1">
      <alignment horizontal="center" vertical="center" wrapText="1"/>
    </xf>
    <xf numFmtId="0" fontId="0" fillId="5" borderId="1" xfId="0" applyFill="1" applyBorder="1"/>
    <xf numFmtId="0" fontId="4" fillId="4" borderId="1" xfId="0" applyFont="1" applyFill="1" applyBorder="1" applyAlignment="1">
      <alignment vertical="top" wrapText="1"/>
    </xf>
    <xf numFmtId="0" fontId="4" fillId="4" borderId="1" xfId="0" applyFont="1" applyFill="1" applyBorder="1"/>
    <xf numFmtId="0" fontId="6" fillId="5" borderId="1" xfId="0" applyFont="1" applyFill="1" applyBorder="1" applyAlignment="1">
      <alignment vertical="top" wrapText="1"/>
    </xf>
    <xf numFmtId="0" fontId="0" fillId="0" borderId="2" xfId="0" applyBorder="1"/>
    <xf numFmtId="0" fontId="0" fillId="0" borderId="3" xfId="0" applyBorder="1"/>
    <xf numFmtId="176" fontId="4" fillId="0" borderId="1" xfId="0" applyNumberFormat="1" applyFont="1" applyBorder="1" applyAlignment="1">
      <alignment horizontal="center" vertical="top"/>
    </xf>
    <xf numFmtId="0" fontId="4" fillId="0" borderId="1" xfId="0" applyFont="1" applyBorder="1" applyAlignment="1">
      <alignment horizontal="center" vertical="top"/>
    </xf>
    <xf numFmtId="0" fontId="4" fillId="6" borderId="1" xfId="0" applyFont="1" applyFill="1" applyBorder="1" applyAlignment="1">
      <alignment horizontal="center" vertical="top" wrapText="1"/>
    </xf>
    <xf numFmtId="0" fontId="4" fillId="0" borderId="1" xfId="0" applyFont="1" applyBorder="1" applyAlignment="1">
      <alignment horizontal="center" vertical="top" wrapText="1"/>
    </xf>
    <xf numFmtId="0" fontId="12" fillId="0" borderId="1" xfId="0" applyFont="1" applyBorder="1" applyAlignment="1">
      <alignment horizontal="center" vertical="top"/>
    </xf>
  </cellXfs>
  <cellStyles count="1">
    <cellStyle name="常规" xfId="0" builtinId="0"/>
  </cellStyles>
  <dxfs count="10">
    <dxf>
      <fill>
        <patternFill patternType="solid">
          <fgColor rgb="FFF7D6D6"/>
        </patternFill>
      </fill>
    </dxf>
    <dxf>
      <fill>
        <patternFill patternType="solid">
          <fgColor rgb="FFFCEBCB"/>
        </patternFill>
      </fill>
    </dxf>
    <dxf>
      <fill>
        <patternFill patternType="solid">
          <fgColor rgb="FFFCEBCB"/>
        </patternFill>
      </fill>
    </dxf>
    <dxf>
      <fill>
        <patternFill patternType="solid">
          <fgColor rgb="FFDCE6F1"/>
        </patternFill>
      </fill>
    </dxf>
    <dxf>
      <fill>
        <patternFill patternType="solid">
          <fgColor rgb="FFFCEBCB"/>
        </patternFill>
      </fill>
    </dxf>
    <dxf>
      <fill>
        <patternFill patternType="solid">
          <fgColor rgb="FFD7EAD9"/>
        </patternFill>
      </fill>
    </dxf>
    <dxf>
      <fill>
        <patternFill patternType="solid">
          <fgColor rgb="FFFCEBCB"/>
        </patternFill>
      </fill>
    </dxf>
    <dxf>
      <fill>
        <patternFill patternType="solid">
          <fgColor rgb="FFD7EAD9"/>
        </patternFill>
      </fill>
    </dxf>
    <dxf>
      <fill>
        <patternFill patternType="solid">
          <fgColor rgb="FFD7EAD9"/>
        </patternFill>
      </fill>
    </dxf>
    <dxf>
      <fill>
        <patternFill patternType="solid">
          <fgColor rgb="FFF7D6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54"/>
  <sheetViews>
    <sheetView showGridLines="0" topLeftCell="A16" workbookViewId="0"/>
  </sheetViews>
  <sheetFormatPr defaultRowHeight="14" x14ac:dyDescent="0.25"/>
  <cols>
    <col min="1" max="1" width="3" customWidth="1"/>
    <col min="2" max="2" width="26" customWidth="1"/>
    <col min="3" max="3" width="13" customWidth="1"/>
    <col min="4" max="5" width="16" customWidth="1"/>
    <col min="6" max="6" width="20" customWidth="1"/>
    <col min="7" max="7" width="9" customWidth="1"/>
    <col min="8" max="8" width="60" customWidth="1"/>
    <col min="9" max="9" width="22" customWidth="1"/>
    <col min="10" max="10" width="8" customWidth="1"/>
  </cols>
  <sheetData>
    <row r="2" spans="2:10" ht="42" x14ac:dyDescent="0.25">
      <c r="B2" s="1" t="s">
        <v>0</v>
      </c>
    </row>
    <row r="3" spans="2:10" ht="52" x14ac:dyDescent="0.25">
      <c r="B3" s="2" t="s">
        <v>1</v>
      </c>
    </row>
    <row r="5" spans="2:10" ht="15.5" x14ac:dyDescent="0.25">
      <c r="B5" s="3" t="s">
        <v>2</v>
      </c>
    </row>
    <row r="6" spans="2:10" ht="30" customHeight="1" x14ac:dyDescent="0.25">
      <c r="C6" s="42" t="s">
        <v>3</v>
      </c>
      <c r="D6" s="43"/>
      <c r="E6" s="43"/>
      <c r="F6" s="43"/>
      <c r="G6" s="43"/>
      <c r="H6" s="43"/>
      <c r="I6" s="43"/>
      <c r="J6" s="43"/>
    </row>
    <row r="8" spans="2:10" ht="15.5" x14ac:dyDescent="0.25">
      <c r="B8" s="3" t="s">
        <v>4</v>
      </c>
    </row>
    <row r="9" spans="2:10" ht="30" customHeight="1" x14ac:dyDescent="0.25">
      <c r="B9" s="4" t="s">
        <v>5</v>
      </c>
      <c r="C9" s="42" t="s">
        <v>6</v>
      </c>
      <c r="D9" s="43"/>
      <c r="E9" s="43"/>
      <c r="F9" s="43"/>
      <c r="G9" s="43"/>
      <c r="H9" s="43"/>
      <c r="I9" s="43"/>
      <c r="J9" s="43"/>
    </row>
    <row r="10" spans="2:10" ht="30" customHeight="1" x14ac:dyDescent="0.25">
      <c r="B10" s="4" t="s">
        <v>7</v>
      </c>
      <c r="C10" s="42" t="s">
        <v>8</v>
      </c>
      <c r="D10" s="43"/>
      <c r="E10" s="43"/>
      <c r="F10" s="43"/>
      <c r="G10" s="43"/>
      <c r="H10" s="43"/>
      <c r="I10" s="43"/>
      <c r="J10" s="43"/>
    </row>
    <row r="11" spans="2:10" ht="30" customHeight="1" x14ac:dyDescent="0.25">
      <c r="B11" s="4" t="s">
        <v>9</v>
      </c>
      <c r="C11" s="42" t="s">
        <v>10</v>
      </c>
      <c r="D11" s="43"/>
      <c r="E11" s="43"/>
      <c r="F11" s="43"/>
      <c r="G11" s="43"/>
      <c r="H11" s="43"/>
      <c r="I11" s="43"/>
      <c r="J11" s="43"/>
    </row>
    <row r="12" spans="2:10" ht="30" customHeight="1" x14ac:dyDescent="0.25">
      <c r="B12" s="4" t="s">
        <v>11</v>
      </c>
      <c r="C12" s="42" t="s">
        <v>12</v>
      </c>
      <c r="D12" s="43"/>
      <c r="E12" s="43"/>
      <c r="F12" s="43"/>
      <c r="G12" s="43"/>
      <c r="H12" s="43"/>
      <c r="I12" s="43"/>
      <c r="J12" s="43"/>
    </row>
    <row r="13" spans="2:10" ht="30" customHeight="1" x14ac:dyDescent="0.25">
      <c r="B13" s="4" t="s">
        <v>13</v>
      </c>
      <c r="C13" s="42" t="s">
        <v>14</v>
      </c>
      <c r="D13" s="43"/>
      <c r="E13" s="43"/>
      <c r="F13" s="43"/>
      <c r="G13" s="43"/>
      <c r="H13" s="43"/>
      <c r="I13" s="43"/>
      <c r="J13" s="43"/>
    </row>
    <row r="15" spans="2:10" ht="15.5" x14ac:dyDescent="0.25">
      <c r="B15" s="3" t="s">
        <v>15</v>
      </c>
    </row>
    <row r="16" spans="2:10" ht="28" customHeight="1" x14ac:dyDescent="0.25">
      <c r="C16" s="42" t="s">
        <v>16</v>
      </c>
      <c r="D16" s="43"/>
      <c r="E16" s="43"/>
      <c r="F16" s="43"/>
      <c r="G16" s="43"/>
      <c r="H16" s="43"/>
      <c r="I16" s="43"/>
      <c r="J16" s="43"/>
    </row>
    <row r="17" spans="2:10" x14ac:dyDescent="0.25">
      <c r="C17" s="42" t="s">
        <v>17</v>
      </c>
      <c r="D17" s="43"/>
      <c r="E17" s="43"/>
      <c r="F17" s="43"/>
      <c r="G17" s="43"/>
      <c r="H17" s="43"/>
      <c r="I17" s="43"/>
      <c r="J17" s="43"/>
    </row>
    <row r="18" spans="2:10" x14ac:dyDescent="0.25">
      <c r="C18" s="42" t="s">
        <v>18</v>
      </c>
      <c r="D18" s="43"/>
      <c r="E18" s="43"/>
      <c r="F18" s="43"/>
      <c r="G18" s="43"/>
      <c r="H18" s="43"/>
      <c r="I18" s="43"/>
      <c r="J18" s="43"/>
    </row>
    <row r="19" spans="2:10" x14ac:dyDescent="0.25">
      <c r="C19" s="42" t="s">
        <v>19</v>
      </c>
      <c r="D19" s="43"/>
      <c r="E19" s="43"/>
      <c r="F19" s="43"/>
      <c r="G19" s="43"/>
      <c r="H19" s="43"/>
      <c r="I19" s="43"/>
      <c r="J19" s="43"/>
    </row>
    <row r="20" spans="2:10" x14ac:dyDescent="0.25">
      <c r="C20" s="42" t="s">
        <v>20</v>
      </c>
      <c r="D20" s="43"/>
      <c r="E20" s="43"/>
      <c r="F20" s="43"/>
      <c r="G20" s="43"/>
      <c r="H20" s="43"/>
      <c r="I20" s="43"/>
      <c r="J20" s="43"/>
    </row>
    <row r="21" spans="2:10" x14ac:dyDescent="0.25">
      <c r="C21" s="42" t="s">
        <v>21</v>
      </c>
      <c r="D21" s="43"/>
      <c r="E21" s="43"/>
      <c r="F21" s="43"/>
      <c r="G21" s="43"/>
      <c r="H21" s="43"/>
      <c r="I21" s="43"/>
      <c r="J21" s="43"/>
    </row>
    <row r="22" spans="2:10" x14ac:dyDescent="0.25">
      <c r="C22" s="42" t="s">
        <v>22</v>
      </c>
      <c r="D22" s="43"/>
      <c r="E22" s="43"/>
      <c r="F22" s="43"/>
      <c r="G22" s="43"/>
      <c r="H22" s="43"/>
      <c r="I22" s="43"/>
      <c r="J22" s="43"/>
    </row>
    <row r="23" spans="2:10" x14ac:dyDescent="0.25">
      <c r="C23" s="42" t="s">
        <v>23</v>
      </c>
      <c r="D23" s="43"/>
      <c r="E23" s="43"/>
      <c r="F23" s="43"/>
      <c r="G23" s="43"/>
      <c r="H23" s="43"/>
      <c r="I23" s="43"/>
      <c r="J23" s="43"/>
    </row>
    <row r="24" spans="2:10" x14ac:dyDescent="0.25">
      <c r="C24" s="42" t="s">
        <v>24</v>
      </c>
      <c r="D24" s="43"/>
      <c r="E24" s="43"/>
      <c r="F24" s="43"/>
      <c r="G24" s="43"/>
      <c r="H24" s="43"/>
      <c r="I24" s="43"/>
      <c r="J24" s="43"/>
    </row>
    <row r="26" spans="2:10" ht="15.5" x14ac:dyDescent="0.25">
      <c r="B26" s="3" t="s">
        <v>25</v>
      </c>
    </row>
    <row r="27" spans="2:10" x14ac:dyDescent="0.25">
      <c r="C27" s="42" t="s">
        <v>26</v>
      </c>
      <c r="D27" s="43"/>
      <c r="E27" s="43"/>
      <c r="F27" s="43"/>
      <c r="G27" s="43"/>
      <c r="H27" s="43"/>
      <c r="I27" s="43"/>
      <c r="J27" s="43"/>
    </row>
    <row r="28" spans="2:10" x14ac:dyDescent="0.25">
      <c r="C28" s="42" t="s">
        <v>27</v>
      </c>
      <c r="D28" s="43"/>
      <c r="E28" s="43"/>
      <c r="F28" s="43"/>
      <c r="G28" s="43"/>
      <c r="H28" s="43"/>
      <c r="I28" s="43"/>
      <c r="J28" s="43"/>
    </row>
    <row r="29" spans="2:10" x14ac:dyDescent="0.25">
      <c r="C29" s="42" t="s">
        <v>28</v>
      </c>
      <c r="D29" s="43"/>
      <c r="E29" s="43"/>
      <c r="F29" s="43"/>
      <c r="G29" s="43"/>
      <c r="H29" s="43"/>
      <c r="I29" s="43"/>
      <c r="J29" s="43"/>
    </row>
    <row r="30" spans="2:10" x14ac:dyDescent="0.25">
      <c r="C30" s="42" t="s">
        <v>29</v>
      </c>
      <c r="D30" s="43"/>
      <c r="E30" s="43"/>
      <c r="F30" s="43"/>
      <c r="G30" s="43"/>
      <c r="H30" s="43"/>
      <c r="I30" s="43"/>
      <c r="J30" s="43"/>
    </row>
    <row r="31" spans="2:10" x14ac:dyDescent="0.25">
      <c r="C31" s="42" t="s">
        <v>30</v>
      </c>
      <c r="D31" s="43"/>
      <c r="E31" s="43"/>
      <c r="F31" s="43"/>
      <c r="G31" s="43"/>
      <c r="H31" s="43"/>
      <c r="I31" s="43"/>
      <c r="J31" s="43"/>
    </row>
    <row r="32" spans="2:10" x14ac:dyDescent="0.25">
      <c r="C32" s="42" t="s">
        <v>31</v>
      </c>
      <c r="D32" s="43"/>
      <c r="E32" s="43"/>
      <c r="F32" s="43"/>
      <c r="G32" s="43"/>
      <c r="H32" s="43"/>
      <c r="I32" s="43"/>
      <c r="J32" s="43"/>
    </row>
    <row r="34" spans="2:10" ht="15.5" x14ac:dyDescent="0.25">
      <c r="B34" s="3" t="s">
        <v>32</v>
      </c>
    </row>
    <row r="35" spans="2:10" ht="32" customHeight="1" x14ac:dyDescent="0.25">
      <c r="C35" s="5" t="s">
        <v>33</v>
      </c>
      <c r="D35" s="5" t="s">
        <v>34</v>
      </c>
      <c r="E35" s="5" t="s">
        <v>35</v>
      </c>
      <c r="F35" s="5" t="s">
        <v>36</v>
      </c>
      <c r="G35" s="5" t="s">
        <v>37</v>
      </c>
      <c r="H35" s="5" t="s">
        <v>38</v>
      </c>
      <c r="I35" s="5" t="s">
        <v>39</v>
      </c>
    </row>
    <row r="36" spans="2:10" ht="30" customHeight="1" x14ac:dyDescent="0.25">
      <c r="C36" s="6" t="s">
        <v>40</v>
      </c>
      <c r="D36" s="6" t="s">
        <v>41</v>
      </c>
      <c r="E36" s="6" t="s">
        <v>42</v>
      </c>
      <c r="F36" s="6" t="s">
        <v>43</v>
      </c>
      <c r="G36" s="6" t="s">
        <v>44</v>
      </c>
      <c r="H36" s="6" t="s">
        <v>45</v>
      </c>
      <c r="I36" s="6" t="s">
        <v>46</v>
      </c>
    </row>
    <row r="37" spans="2:10" ht="30" customHeight="1" x14ac:dyDescent="0.25">
      <c r="C37" s="6" t="s">
        <v>47</v>
      </c>
      <c r="D37" s="6" t="s">
        <v>48</v>
      </c>
      <c r="E37" s="6" t="s">
        <v>49</v>
      </c>
      <c r="F37" s="6" t="s">
        <v>50</v>
      </c>
      <c r="G37" s="6" t="s">
        <v>51</v>
      </c>
      <c r="H37" s="6" t="s">
        <v>52</v>
      </c>
      <c r="I37" s="6" t="s">
        <v>53</v>
      </c>
    </row>
    <row r="38" spans="2:10" ht="30" customHeight="1" x14ac:dyDescent="0.25">
      <c r="C38" s="6" t="s">
        <v>54</v>
      </c>
      <c r="D38" s="6" t="s">
        <v>55</v>
      </c>
      <c r="E38" s="6" t="s">
        <v>56</v>
      </c>
      <c r="F38" s="6" t="s">
        <v>57</v>
      </c>
      <c r="G38" s="6" t="s">
        <v>58</v>
      </c>
      <c r="H38" s="6" t="s">
        <v>59</v>
      </c>
      <c r="I38" s="6" t="s">
        <v>60</v>
      </c>
    </row>
    <row r="39" spans="2:10" x14ac:dyDescent="0.25">
      <c r="C39" s="44" t="s">
        <v>61</v>
      </c>
      <c r="D39" s="43"/>
      <c r="E39" s="43"/>
      <c r="F39" s="43"/>
      <c r="G39" s="43"/>
      <c r="H39" s="43"/>
      <c r="I39" s="43"/>
      <c r="J39" s="43"/>
    </row>
    <row r="41" spans="2:10" ht="15.5" x14ac:dyDescent="0.25">
      <c r="B41" s="3" t="s">
        <v>62</v>
      </c>
    </row>
    <row r="42" spans="2:10" x14ac:dyDescent="0.25">
      <c r="C42" s="42" t="s">
        <v>63</v>
      </c>
      <c r="D42" s="43"/>
      <c r="E42" s="43"/>
      <c r="F42" s="43"/>
      <c r="G42" s="43"/>
      <c r="H42" s="43"/>
      <c r="I42" s="43"/>
      <c r="J42" s="43"/>
    </row>
    <row r="43" spans="2:10" x14ac:dyDescent="0.25">
      <c r="C43" s="42" t="s">
        <v>64</v>
      </c>
      <c r="D43" s="43"/>
      <c r="E43" s="43"/>
      <c r="F43" s="43"/>
      <c r="G43" s="43"/>
      <c r="H43" s="43"/>
      <c r="I43" s="43"/>
      <c r="J43" s="43"/>
    </row>
    <row r="44" spans="2:10" x14ac:dyDescent="0.25">
      <c r="C44" s="42" t="s">
        <v>65</v>
      </c>
      <c r="D44" s="43"/>
      <c r="E44" s="43"/>
      <c r="F44" s="43"/>
      <c r="G44" s="43"/>
      <c r="H44" s="43"/>
      <c r="I44" s="43"/>
      <c r="J44" s="43"/>
    </row>
    <row r="45" spans="2:10" x14ac:dyDescent="0.25">
      <c r="C45" s="42" t="s">
        <v>66</v>
      </c>
      <c r="D45" s="43"/>
      <c r="E45" s="43"/>
      <c r="F45" s="43"/>
      <c r="G45" s="43"/>
      <c r="H45" s="43"/>
      <c r="I45" s="43"/>
      <c r="J45" s="43"/>
    </row>
    <row r="46" spans="2:10" x14ac:dyDescent="0.25">
      <c r="C46" s="42" t="s">
        <v>67</v>
      </c>
      <c r="D46" s="43"/>
      <c r="E46" s="43"/>
      <c r="F46" s="43"/>
      <c r="G46" s="43"/>
      <c r="H46" s="43"/>
      <c r="I46" s="43"/>
      <c r="J46" s="43"/>
    </row>
    <row r="47" spans="2:10" x14ac:dyDescent="0.25">
      <c r="C47" s="42" t="s">
        <v>68</v>
      </c>
      <c r="D47" s="43"/>
      <c r="E47" s="43"/>
      <c r="F47" s="43"/>
      <c r="G47" s="43"/>
      <c r="H47" s="43"/>
      <c r="I47" s="43"/>
      <c r="J47" s="43"/>
    </row>
    <row r="49" spans="2:10" ht="15.5" x14ac:dyDescent="0.25">
      <c r="B49" s="3" t="s">
        <v>69</v>
      </c>
    </row>
    <row r="50" spans="2:10" x14ac:dyDescent="0.25">
      <c r="C50" s="42" t="s">
        <v>70</v>
      </c>
      <c r="D50" s="43"/>
      <c r="E50" s="43"/>
      <c r="F50" s="43"/>
      <c r="G50" s="43"/>
      <c r="H50" s="43"/>
      <c r="I50" s="43"/>
      <c r="J50" s="43"/>
    </row>
    <row r="51" spans="2:10" x14ac:dyDescent="0.25">
      <c r="C51" s="42" t="s">
        <v>71</v>
      </c>
      <c r="D51" s="43"/>
      <c r="E51" s="43"/>
      <c r="F51" s="43"/>
      <c r="G51" s="43"/>
      <c r="H51" s="43"/>
      <c r="I51" s="43"/>
      <c r="J51" s="43"/>
    </row>
    <row r="52" spans="2:10" x14ac:dyDescent="0.25">
      <c r="C52" s="42" t="s">
        <v>72</v>
      </c>
      <c r="D52" s="43"/>
      <c r="E52" s="43"/>
      <c r="F52" s="43"/>
      <c r="G52" s="43"/>
      <c r="H52" s="43"/>
      <c r="I52" s="43"/>
      <c r="J52" s="43"/>
    </row>
    <row r="53" spans="2:10" x14ac:dyDescent="0.25">
      <c r="C53" s="42" t="s">
        <v>73</v>
      </c>
      <c r="D53" s="43"/>
      <c r="E53" s="43"/>
      <c r="F53" s="43"/>
      <c r="G53" s="43"/>
      <c r="H53" s="43"/>
      <c r="I53" s="43"/>
      <c r="J53" s="43"/>
    </row>
    <row r="54" spans="2:10" x14ac:dyDescent="0.25">
      <c r="C54" s="42" t="s">
        <v>74</v>
      </c>
      <c r="D54" s="43"/>
      <c r="E54" s="43"/>
      <c r="F54" s="43"/>
      <c r="G54" s="43"/>
      <c r="H54" s="43"/>
      <c r="I54" s="43"/>
      <c r="J54" s="43"/>
    </row>
  </sheetData>
  <mergeCells count="33">
    <mergeCell ref="C18:J18"/>
    <mergeCell ref="C47:J47"/>
    <mergeCell ref="C54:J54"/>
    <mergeCell ref="C50:J50"/>
    <mergeCell ref="C44:J44"/>
    <mergeCell ref="C22:J22"/>
    <mergeCell ref="C31:J31"/>
    <mergeCell ref="C43:J43"/>
    <mergeCell ref="C46:J46"/>
    <mergeCell ref="C51:J51"/>
    <mergeCell ref="C27:J27"/>
    <mergeCell ref="C52:J52"/>
    <mergeCell ref="C23:J23"/>
    <mergeCell ref="C39:J39"/>
    <mergeCell ref="C32:J32"/>
    <mergeCell ref="C28:J28"/>
    <mergeCell ref="C53:J53"/>
    <mergeCell ref="C30:J30"/>
    <mergeCell ref="C6:J6"/>
    <mergeCell ref="C24:J24"/>
    <mergeCell ref="C42:J42"/>
    <mergeCell ref="C45:J45"/>
    <mergeCell ref="C29:J29"/>
    <mergeCell ref="C20:J20"/>
    <mergeCell ref="C10:J10"/>
    <mergeCell ref="C16:J16"/>
    <mergeCell ref="C9:J9"/>
    <mergeCell ref="C12:J12"/>
    <mergeCell ref="C21:J21"/>
    <mergeCell ref="C11:J11"/>
    <mergeCell ref="C17:J17"/>
    <mergeCell ref="C13:J13"/>
    <mergeCell ref="C19:J19"/>
  </mergeCells>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01"/>
  <sheetViews>
    <sheetView tabSelected="1" zoomScale="85" zoomScaleNormal="85" workbookViewId="0">
      <pane ySplit="1" topLeftCell="A8" activePane="bottomLeft" state="frozen"/>
      <selection pane="bottomLeft" activeCell="D16" sqref="D16"/>
    </sheetView>
  </sheetViews>
  <sheetFormatPr defaultRowHeight="14" x14ac:dyDescent="0.25"/>
  <cols>
    <col min="1" max="1" width="13" customWidth="1"/>
    <col min="2" max="2" width="8" customWidth="1"/>
    <col min="3" max="4" width="18" customWidth="1"/>
    <col min="5" max="5" width="13" customWidth="1"/>
    <col min="6" max="6" width="8" customWidth="1"/>
    <col min="7" max="7" width="26" customWidth="1"/>
    <col min="8" max="8" width="19" customWidth="1"/>
    <col min="9" max="9" width="24" customWidth="1"/>
    <col min="10" max="10" width="10" customWidth="1"/>
    <col min="11" max="11" width="46" customWidth="1"/>
    <col min="12" max="12" width="7" customWidth="1"/>
    <col min="13" max="13" width="6" customWidth="1"/>
    <col min="14" max="14" width="13" customWidth="1"/>
    <col min="15" max="15" width="14" customWidth="1"/>
    <col min="16" max="16" width="62" customWidth="1"/>
    <col min="17" max="17" width="22" customWidth="1"/>
    <col min="18" max="18" width="34" customWidth="1"/>
  </cols>
  <sheetData>
    <row r="1" spans="1:18" ht="36" customHeight="1" x14ac:dyDescent="0.25">
      <c r="A1" s="7" t="s">
        <v>33</v>
      </c>
      <c r="B1" s="5" t="s">
        <v>75</v>
      </c>
      <c r="C1" s="7" t="s">
        <v>34</v>
      </c>
      <c r="D1" s="7" t="s">
        <v>35</v>
      </c>
      <c r="E1" s="5" t="s">
        <v>76</v>
      </c>
      <c r="F1" s="7" t="s">
        <v>77</v>
      </c>
      <c r="G1" s="7" t="s">
        <v>78</v>
      </c>
      <c r="H1" s="7" t="s">
        <v>36</v>
      </c>
      <c r="I1" s="7" t="s">
        <v>79</v>
      </c>
      <c r="J1" s="7" t="s">
        <v>37</v>
      </c>
      <c r="K1" s="5" t="s">
        <v>80</v>
      </c>
      <c r="L1" s="5" t="s">
        <v>81</v>
      </c>
      <c r="M1" s="5" t="s">
        <v>82</v>
      </c>
      <c r="N1" s="7" t="s">
        <v>83</v>
      </c>
      <c r="O1" s="7" t="s">
        <v>84</v>
      </c>
      <c r="P1" s="7" t="s">
        <v>38</v>
      </c>
      <c r="Q1" s="7" t="s">
        <v>39</v>
      </c>
      <c r="R1" s="7" t="s">
        <v>85</v>
      </c>
    </row>
    <row r="2" spans="1:18" x14ac:dyDescent="0.25">
      <c r="A2" s="8"/>
      <c r="B2" s="9" t="str">
        <f>IF(A2="","","W"&amp;(INT((A2-Lists!$B$2)/7)+1))</f>
        <v/>
      </c>
      <c r="C2" s="10"/>
      <c r="D2" s="10"/>
      <c r="E2" s="9" t="str">
        <f t="shared" ref="E2:E65" si="0">IF(OR(C2="",D2=""),"",IF(C2=D2,"SELF-REVIEW","OK"))</f>
        <v/>
      </c>
      <c r="F2" s="11"/>
      <c r="G2" s="10"/>
      <c r="H2" s="10"/>
      <c r="I2" s="10"/>
      <c r="J2" s="10"/>
      <c r="K2" s="12" t="str">
        <f>IFERROR(IF(J2="","",VLOOKUP(J2,Lists!$K$2:$O$61,5,FALSE)),"")</f>
        <v/>
      </c>
      <c r="L2" s="9" t="str">
        <f>IFERROR(IF(J2="","",VLOOKUP(J2,Lists!$K$2:$O$61,2,FALSE)),"")</f>
        <v/>
      </c>
      <c r="M2" s="9" t="str">
        <f>IFERROR(IF(J2="","",VLOOKUP(J2,Lists!$K$2:$O$61,3,FALSE)),"")</f>
        <v/>
      </c>
      <c r="N2" s="10"/>
      <c r="O2" s="10"/>
      <c r="P2" s="6"/>
      <c r="Q2" s="10"/>
      <c r="R2" s="6"/>
    </row>
    <row r="3" spans="1:18" x14ac:dyDescent="0.25">
      <c r="A3" s="8"/>
      <c r="B3" s="9" t="str">
        <f>IF(A3="","","W"&amp;(INT((A3-Lists!$B$2)/7)+1))</f>
        <v/>
      </c>
      <c r="C3" s="10"/>
      <c r="D3" s="10"/>
      <c r="E3" s="9" t="str">
        <f t="shared" si="0"/>
        <v/>
      </c>
      <c r="F3" s="11"/>
      <c r="G3" s="10"/>
      <c r="H3" s="10"/>
      <c r="I3" s="10"/>
      <c r="J3" s="10"/>
      <c r="K3" s="12" t="str">
        <f>IFERROR(IF(J3="","",VLOOKUP(J3,Lists!$K$2:$O$61,5,FALSE)),"")</f>
        <v/>
      </c>
      <c r="L3" s="9" t="str">
        <f>IFERROR(IF(J3="","",VLOOKUP(J3,Lists!$K$2:$O$61,2,FALSE)),"")</f>
        <v/>
      </c>
      <c r="M3" s="9" t="str">
        <f>IFERROR(IF(J3="","",VLOOKUP(J3,Lists!$K$2:$O$61,3,FALSE)),"")</f>
        <v/>
      </c>
      <c r="N3" s="10"/>
      <c r="O3" s="10"/>
      <c r="P3" s="6"/>
      <c r="Q3" s="10"/>
      <c r="R3" s="6"/>
    </row>
    <row r="4" spans="1:18" x14ac:dyDescent="0.25">
      <c r="A4" s="8"/>
      <c r="B4" s="9" t="str">
        <f>IF(A4="","","W"&amp;(INT((A4-Lists!$B$2)/7)+1))</f>
        <v/>
      </c>
      <c r="C4" s="10"/>
      <c r="D4" s="10"/>
      <c r="E4" s="9" t="str">
        <f t="shared" si="0"/>
        <v/>
      </c>
      <c r="F4" s="11"/>
      <c r="G4" s="10"/>
      <c r="H4" s="10"/>
      <c r="I4" s="10"/>
      <c r="J4" s="10"/>
      <c r="K4" s="12" t="str">
        <f>IFERROR(IF(J4="","",VLOOKUP(J4,Lists!$K$2:$O$61,5,FALSE)),"")</f>
        <v/>
      </c>
      <c r="L4" s="9" t="str">
        <f>IFERROR(IF(J4="","",VLOOKUP(J4,Lists!$K$2:$O$61,2,FALSE)),"")</f>
        <v/>
      </c>
      <c r="M4" s="9" t="str">
        <f>IFERROR(IF(J4="","",VLOOKUP(J4,Lists!$K$2:$O$61,3,FALSE)),"")</f>
        <v/>
      </c>
      <c r="N4" s="10"/>
      <c r="O4" s="10"/>
      <c r="P4" s="6"/>
      <c r="Q4" s="10"/>
      <c r="R4" s="6"/>
    </row>
    <row r="5" spans="1:18" x14ac:dyDescent="0.25">
      <c r="A5" s="8"/>
      <c r="B5" s="9" t="str">
        <f>IF(A5="","","W"&amp;(INT((A5-Lists!$B$2)/7)+1))</f>
        <v/>
      </c>
      <c r="C5" s="10"/>
      <c r="D5" s="10"/>
      <c r="E5" s="9" t="str">
        <f t="shared" si="0"/>
        <v/>
      </c>
      <c r="F5" s="11"/>
      <c r="G5" s="10"/>
      <c r="H5" s="10"/>
      <c r="I5" s="10"/>
      <c r="J5" s="10"/>
      <c r="K5" s="12" t="str">
        <f>IFERROR(IF(J5="","",VLOOKUP(J5,Lists!$K$2:$O$61,5,FALSE)),"")</f>
        <v/>
      </c>
      <c r="L5" s="9" t="str">
        <f>IFERROR(IF(J5="","",VLOOKUP(J5,Lists!$K$2:$O$61,2,FALSE)),"")</f>
        <v/>
      </c>
      <c r="M5" s="9" t="str">
        <f>IFERROR(IF(J5="","",VLOOKUP(J5,Lists!$K$2:$O$61,3,FALSE)),"")</f>
        <v/>
      </c>
      <c r="N5" s="10"/>
      <c r="O5" s="10"/>
      <c r="P5" s="6"/>
      <c r="Q5" s="10"/>
      <c r="R5" s="6"/>
    </row>
    <row r="6" spans="1:18" x14ac:dyDescent="0.25">
      <c r="A6" s="8"/>
      <c r="B6" s="9" t="str">
        <f>IF(A6="","","W"&amp;(INT((A6-Lists!$B$2)/7)+1))</f>
        <v/>
      </c>
      <c r="C6" s="10"/>
      <c r="D6" s="10"/>
      <c r="E6" s="9" t="str">
        <f t="shared" si="0"/>
        <v/>
      </c>
      <c r="F6" s="11"/>
      <c r="G6" s="10"/>
      <c r="H6" s="10"/>
      <c r="I6" s="10"/>
      <c r="J6" s="10"/>
      <c r="K6" s="12" t="str">
        <f>IFERROR(IF(J6="","",VLOOKUP(J6,Lists!$K$2:$O$61,5,FALSE)),"")</f>
        <v/>
      </c>
      <c r="L6" s="9" t="str">
        <f>IFERROR(IF(J6="","",VLOOKUP(J6,Lists!$K$2:$O$61,2,FALSE)),"")</f>
        <v/>
      </c>
      <c r="M6" s="9" t="str">
        <f>IFERROR(IF(J6="","",VLOOKUP(J6,Lists!$K$2:$O$61,3,FALSE)),"")</f>
        <v/>
      </c>
      <c r="N6" s="10"/>
      <c r="O6" s="10"/>
      <c r="P6" s="6"/>
      <c r="Q6" s="10"/>
      <c r="R6" s="6"/>
    </row>
    <row r="7" spans="1:18" x14ac:dyDescent="0.25">
      <c r="A7" s="8"/>
      <c r="B7" s="9" t="str">
        <f>IF(A7="","","W"&amp;(INT((A7-Lists!$B$2)/7)+1))</f>
        <v/>
      </c>
      <c r="C7" s="10"/>
      <c r="D7" s="10"/>
      <c r="E7" s="9" t="str">
        <f t="shared" si="0"/>
        <v/>
      </c>
      <c r="F7" s="11"/>
      <c r="G7" s="10"/>
      <c r="H7" s="10"/>
      <c r="I7" s="10"/>
      <c r="J7" s="10"/>
      <c r="K7" s="12" t="str">
        <f>IFERROR(IF(J7="","",VLOOKUP(J7,Lists!$K$2:$O$61,5,FALSE)),"")</f>
        <v/>
      </c>
      <c r="L7" s="9" t="str">
        <f>IFERROR(IF(J7="","",VLOOKUP(J7,Lists!$K$2:$O$61,2,FALSE)),"")</f>
        <v/>
      </c>
      <c r="M7" s="9" t="str">
        <f>IFERROR(IF(J7="","",VLOOKUP(J7,Lists!$K$2:$O$61,3,FALSE)),"")</f>
        <v/>
      </c>
      <c r="N7" s="10"/>
      <c r="O7" s="10"/>
      <c r="P7" s="6"/>
      <c r="Q7" s="10"/>
      <c r="R7" s="6"/>
    </row>
    <row r="8" spans="1:18" x14ac:dyDescent="0.25">
      <c r="A8" s="63">
        <v>46262</v>
      </c>
      <c r="B8" s="9" t="str">
        <f>IF(A8="","","W"&amp;(INT((A8-Lists!$B$2)/7)+1))</f>
        <v>W4</v>
      </c>
      <c r="C8" s="64" t="s">
        <v>48</v>
      </c>
      <c r="D8" s="64" t="s">
        <v>48</v>
      </c>
      <c r="E8" s="9" t="str">
        <f t="shared" si="0"/>
        <v>SELF-REVIEW</v>
      </c>
      <c r="F8" s="11">
        <v>1</v>
      </c>
      <c r="G8" s="64"/>
      <c r="H8" s="64" t="s">
        <v>474</v>
      </c>
      <c r="I8" s="64" t="s">
        <v>500</v>
      </c>
      <c r="J8" s="64"/>
      <c r="K8" s="65" t="str">
        <f>IFERROR(IF(J8="","",VLOOKUP(J8,Lists!$K$2:$O$61,5,FALSE)),"")</f>
        <v/>
      </c>
      <c r="L8" s="9" t="str">
        <f>IFERROR(IF(J8="","",VLOOKUP(J8,Lists!$K$2:$O$61,2,FALSE)),"")</f>
        <v/>
      </c>
      <c r="M8" s="9" t="str">
        <f>IFERROR(IF(J8="","",VLOOKUP(J8,Lists!$K$2:$O$61,3,FALSE)),"")</f>
        <v/>
      </c>
      <c r="N8" s="64"/>
      <c r="O8" s="64"/>
      <c r="P8" s="66"/>
      <c r="Q8" s="64" t="s">
        <v>46</v>
      </c>
      <c r="R8" s="66"/>
    </row>
    <row r="9" spans="1:18" x14ac:dyDescent="0.25">
      <c r="A9" s="63">
        <v>46272</v>
      </c>
      <c r="B9" s="9" t="str">
        <f>IF(A9="","","W"&amp;(INT((A9-Lists!$B$2)/7)+1))</f>
        <v>W6</v>
      </c>
      <c r="C9" s="64" t="s">
        <v>41</v>
      </c>
      <c r="D9" s="64" t="s">
        <v>254</v>
      </c>
      <c r="E9" s="9" t="str">
        <f t="shared" si="0"/>
        <v>OK</v>
      </c>
      <c r="F9" s="11">
        <v>2</v>
      </c>
      <c r="G9" s="64"/>
      <c r="H9" s="64" t="s">
        <v>495</v>
      </c>
      <c r="I9" s="64" t="s">
        <v>491</v>
      </c>
      <c r="J9" s="64" t="s">
        <v>410</v>
      </c>
      <c r="K9" s="65" t="str">
        <f>IFERROR(IF(J9="","",VLOOKUP(J9,Lists!$K$2:$O$61,5,FALSE)),"")</f>
        <v>I can trust that a fix in one place hasn't broken another</v>
      </c>
      <c r="L9" s="9" t="str">
        <f>IFERROR(IF(J9="","",VLOOKUP(J9,Lists!$K$2:$O$61,2,FALSE)),"")</f>
        <v>A</v>
      </c>
      <c r="M9" s="9" t="str">
        <f>IFERROR(IF(J9="","",VLOOKUP(J9,Lists!$K$2:$O$61,3,FALSE)),"")</f>
        <v>P0</v>
      </c>
      <c r="N9" s="64" t="s">
        <v>408</v>
      </c>
      <c r="O9" s="67" t="s">
        <v>598</v>
      </c>
      <c r="P9" s="66"/>
      <c r="Q9" s="64" t="s">
        <v>53</v>
      </c>
      <c r="R9" s="66"/>
    </row>
    <row r="10" spans="1:18" x14ac:dyDescent="0.25">
      <c r="A10" s="63">
        <v>46272</v>
      </c>
      <c r="B10" s="9" t="str">
        <f>IF(A10="","","W"&amp;(INT((A10-Lists!$B$2)/7)+1))</f>
        <v>W6</v>
      </c>
      <c r="C10" s="64" t="s">
        <v>254</v>
      </c>
      <c r="D10" s="64" t="s">
        <v>41</v>
      </c>
      <c r="E10" s="9" t="str">
        <f t="shared" si="0"/>
        <v>OK</v>
      </c>
      <c r="F10" s="11">
        <v>4</v>
      </c>
      <c r="G10" s="64"/>
      <c r="H10" s="64" t="s">
        <v>43</v>
      </c>
      <c r="I10" s="64" t="s">
        <v>467</v>
      </c>
      <c r="J10" s="64" t="s">
        <v>325</v>
      </c>
      <c r="K10" s="65" t="str">
        <f>IFERROR(IF(J10="","",VLOOKUP(J10,Lists!$K$2:$O$61,5,FALSE)),"")</f>
        <v>My role determines what I can do</v>
      </c>
      <c r="L10" s="9" t="str">
        <f>IFERROR(IF(J10="","",VLOOKUP(J10,Lists!$K$2:$O$61,2,FALSE)),"")</f>
        <v>G</v>
      </c>
      <c r="M10" s="9" t="str">
        <f>IFERROR(IF(J10="","",VLOOKUP(J10,Lists!$K$2:$O$61,3,FALSE)),"")</f>
        <v>P0</v>
      </c>
      <c r="N10" s="64" t="s">
        <v>322</v>
      </c>
      <c r="O10" s="64">
        <v>7</v>
      </c>
      <c r="P10" s="66" t="s">
        <v>597</v>
      </c>
      <c r="Q10" s="64" t="s">
        <v>53</v>
      </c>
      <c r="R10" s="66"/>
    </row>
    <row r="11" spans="1:18" x14ac:dyDescent="0.25">
      <c r="A11" s="8"/>
      <c r="B11" s="9" t="str">
        <f>IF(A11="","","W"&amp;(INT((A11-Lists!$B$2)/7)+1))</f>
        <v/>
      </c>
      <c r="C11" s="10"/>
      <c r="D11" s="10"/>
      <c r="E11" s="9" t="str">
        <f t="shared" si="0"/>
        <v/>
      </c>
      <c r="F11" s="11"/>
      <c r="G11" s="10"/>
      <c r="H11" s="10"/>
      <c r="I11" s="10"/>
      <c r="J11" s="10"/>
      <c r="K11" s="12" t="str">
        <f>IFERROR(IF(J11="","",VLOOKUP(J11,Lists!$K$2:$O$61,5,FALSE)),"")</f>
        <v/>
      </c>
      <c r="L11" s="9" t="str">
        <f>IFERROR(IF(J11="","",VLOOKUP(J11,Lists!$K$2:$O$61,2,FALSE)),"")</f>
        <v/>
      </c>
      <c r="M11" s="9" t="str">
        <f>IFERROR(IF(J11="","",VLOOKUP(J11,Lists!$K$2:$O$61,3,FALSE)),"")</f>
        <v/>
      </c>
      <c r="N11" s="10"/>
      <c r="O11" s="10"/>
      <c r="P11" s="6"/>
      <c r="Q11" s="10"/>
      <c r="R11" s="6"/>
    </row>
    <row r="12" spans="1:18" x14ac:dyDescent="0.25">
      <c r="A12" s="8"/>
      <c r="B12" s="9" t="str">
        <f>IF(A12="","","W"&amp;(INT((A12-Lists!$B$2)/7)+1))</f>
        <v/>
      </c>
      <c r="C12" s="10"/>
      <c r="D12" s="10"/>
      <c r="E12" s="9" t="str">
        <f t="shared" si="0"/>
        <v/>
      </c>
      <c r="F12" s="11"/>
      <c r="G12" s="10"/>
      <c r="H12" s="10"/>
      <c r="I12" s="10"/>
      <c r="J12" s="10"/>
      <c r="K12" s="12" t="str">
        <f>IFERROR(IF(J12="","",VLOOKUP(J12,Lists!$K$2:$O$61,5,FALSE)),"")</f>
        <v/>
      </c>
      <c r="L12" s="9" t="str">
        <f>IFERROR(IF(J12="","",VLOOKUP(J12,Lists!$K$2:$O$61,2,FALSE)),"")</f>
        <v/>
      </c>
      <c r="M12" s="9" t="str">
        <f>IFERROR(IF(J12="","",VLOOKUP(J12,Lists!$K$2:$O$61,3,FALSE)),"")</f>
        <v/>
      </c>
      <c r="N12" s="10"/>
      <c r="O12" s="10"/>
      <c r="P12" s="6"/>
      <c r="Q12" s="10"/>
      <c r="R12" s="6"/>
    </row>
    <row r="13" spans="1:18" x14ac:dyDescent="0.25">
      <c r="A13" s="8"/>
      <c r="B13" s="9" t="str">
        <f>IF(A13="","","W"&amp;(INT((A13-Lists!$B$2)/7)+1))</f>
        <v/>
      </c>
      <c r="C13" s="10"/>
      <c r="D13" s="10"/>
      <c r="E13" s="9" t="str">
        <f t="shared" si="0"/>
        <v/>
      </c>
      <c r="F13" s="11"/>
      <c r="G13" s="10"/>
      <c r="H13" s="10"/>
      <c r="I13" s="10"/>
      <c r="J13" s="10"/>
      <c r="K13" s="12" t="str">
        <f>IFERROR(IF(J13="","",VLOOKUP(J13,Lists!$K$2:$O$61,5,FALSE)),"")</f>
        <v/>
      </c>
      <c r="L13" s="9" t="str">
        <f>IFERROR(IF(J13="","",VLOOKUP(J13,Lists!$K$2:$O$61,2,FALSE)),"")</f>
        <v/>
      </c>
      <c r="M13" s="9" t="str">
        <f>IFERROR(IF(J13="","",VLOOKUP(J13,Lists!$K$2:$O$61,3,FALSE)),"")</f>
        <v/>
      </c>
      <c r="N13" s="10"/>
      <c r="O13" s="10"/>
      <c r="P13" s="6"/>
      <c r="Q13" s="10"/>
      <c r="R13" s="6"/>
    </row>
    <row r="14" spans="1:18" x14ac:dyDescent="0.25">
      <c r="A14" s="8"/>
      <c r="B14" s="9" t="str">
        <f>IF(A14="","","W"&amp;(INT((A14-Lists!$B$2)/7)+1))</f>
        <v/>
      </c>
      <c r="C14" s="10"/>
      <c r="D14" s="10"/>
      <c r="E14" s="9" t="str">
        <f t="shared" si="0"/>
        <v/>
      </c>
      <c r="F14" s="11"/>
      <c r="G14" s="10"/>
      <c r="H14" s="10"/>
      <c r="I14" s="10"/>
      <c r="J14" s="10"/>
      <c r="K14" s="12" t="str">
        <f>IFERROR(IF(J14="","",VLOOKUP(J14,Lists!$K$2:$O$61,5,FALSE)),"")</f>
        <v/>
      </c>
      <c r="L14" s="9" t="str">
        <f>IFERROR(IF(J14="","",VLOOKUP(J14,Lists!$K$2:$O$61,2,FALSE)),"")</f>
        <v/>
      </c>
      <c r="M14" s="9" t="str">
        <f>IFERROR(IF(J14="","",VLOOKUP(J14,Lists!$K$2:$O$61,3,FALSE)),"")</f>
        <v/>
      </c>
      <c r="N14" s="10"/>
      <c r="O14" s="10"/>
      <c r="P14" s="6"/>
      <c r="Q14" s="10"/>
      <c r="R14" s="6"/>
    </row>
    <row r="15" spans="1:18" x14ac:dyDescent="0.25">
      <c r="A15" s="8"/>
      <c r="B15" s="9" t="str">
        <f>IF(A15="","","W"&amp;(INT((A15-Lists!$B$2)/7)+1))</f>
        <v/>
      </c>
      <c r="C15" s="10"/>
      <c r="D15" s="10"/>
      <c r="E15" s="9" t="str">
        <f t="shared" si="0"/>
        <v/>
      </c>
      <c r="F15" s="11"/>
      <c r="G15" s="10"/>
      <c r="H15" s="10"/>
      <c r="I15" s="10"/>
      <c r="J15" s="10"/>
      <c r="K15" s="12" t="str">
        <f>IFERROR(IF(J15="","",VLOOKUP(J15,Lists!$K$2:$O$61,5,FALSE)),"")</f>
        <v/>
      </c>
      <c r="L15" s="9" t="str">
        <f>IFERROR(IF(J15="","",VLOOKUP(J15,Lists!$K$2:$O$61,2,FALSE)),"")</f>
        <v/>
      </c>
      <c r="M15" s="9" t="str">
        <f>IFERROR(IF(J15="","",VLOOKUP(J15,Lists!$K$2:$O$61,3,FALSE)),"")</f>
        <v/>
      </c>
      <c r="N15" s="10"/>
      <c r="O15" s="10"/>
      <c r="P15" s="6"/>
      <c r="Q15" s="10"/>
      <c r="R15" s="6"/>
    </row>
    <row r="16" spans="1:18" x14ac:dyDescent="0.25">
      <c r="A16" s="8"/>
      <c r="B16" s="9" t="str">
        <f>IF(A16="","","W"&amp;(INT((A16-Lists!$B$2)/7)+1))</f>
        <v/>
      </c>
      <c r="C16" s="10"/>
      <c r="D16" s="10"/>
      <c r="E16" s="9" t="str">
        <f t="shared" si="0"/>
        <v/>
      </c>
      <c r="F16" s="11"/>
      <c r="G16" s="10"/>
      <c r="H16" s="10"/>
      <c r="I16" s="10"/>
      <c r="J16" s="10"/>
      <c r="K16" s="12" t="str">
        <f>IFERROR(IF(J16="","",VLOOKUP(J16,Lists!$K$2:$O$61,5,FALSE)),"")</f>
        <v/>
      </c>
      <c r="L16" s="9" t="str">
        <f>IFERROR(IF(J16="","",VLOOKUP(J16,Lists!$K$2:$O$61,2,FALSE)),"")</f>
        <v/>
      </c>
      <c r="M16" s="9" t="str">
        <f>IFERROR(IF(J16="","",VLOOKUP(J16,Lists!$K$2:$O$61,3,FALSE)),"")</f>
        <v/>
      </c>
      <c r="N16" s="10"/>
      <c r="O16" s="10"/>
      <c r="P16" s="6"/>
      <c r="Q16" s="10"/>
      <c r="R16" s="6"/>
    </row>
    <row r="17" spans="1:18" x14ac:dyDescent="0.25">
      <c r="A17" s="8"/>
      <c r="B17" s="9" t="str">
        <f>IF(A17="","","W"&amp;(INT((A17-Lists!$B$2)/7)+1))</f>
        <v/>
      </c>
      <c r="C17" s="10"/>
      <c r="D17" s="10"/>
      <c r="E17" s="9" t="str">
        <f t="shared" si="0"/>
        <v/>
      </c>
      <c r="F17" s="11"/>
      <c r="G17" s="10"/>
      <c r="H17" s="10"/>
      <c r="I17" s="10"/>
      <c r="J17" s="10"/>
      <c r="K17" s="12" t="str">
        <f>IFERROR(IF(J17="","",VLOOKUP(J17,Lists!$K$2:$O$61,5,FALSE)),"")</f>
        <v/>
      </c>
      <c r="L17" s="9" t="str">
        <f>IFERROR(IF(J17="","",VLOOKUP(J17,Lists!$K$2:$O$61,2,FALSE)),"")</f>
        <v/>
      </c>
      <c r="M17" s="9" t="str">
        <f>IFERROR(IF(J17="","",VLOOKUP(J17,Lists!$K$2:$O$61,3,FALSE)),"")</f>
        <v/>
      </c>
      <c r="N17" s="10"/>
      <c r="O17" s="10"/>
      <c r="P17" s="6"/>
      <c r="Q17" s="10"/>
      <c r="R17" s="6"/>
    </row>
    <row r="18" spans="1:18" x14ac:dyDescent="0.25">
      <c r="A18" s="8"/>
      <c r="B18" s="9" t="str">
        <f>IF(A18="","","W"&amp;(INT((A18-Lists!$B$2)/7)+1))</f>
        <v/>
      </c>
      <c r="C18" s="10"/>
      <c r="D18" s="10"/>
      <c r="E18" s="9" t="str">
        <f t="shared" si="0"/>
        <v/>
      </c>
      <c r="F18" s="11"/>
      <c r="G18" s="10"/>
      <c r="H18" s="10"/>
      <c r="I18" s="10"/>
      <c r="J18" s="10"/>
      <c r="K18" s="12" t="str">
        <f>IFERROR(IF(J18="","",VLOOKUP(J18,Lists!$K$2:$O$61,5,FALSE)),"")</f>
        <v/>
      </c>
      <c r="L18" s="9" t="str">
        <f>IFERROR(IF(J18="","",VLOOKUP(J18,Lists!$K$2:$O$61,2,FALSE)),"")</f>
        <v/>
      </c>
      <c r="M18" s="9" t="str">
        <f>IFERROR(IF(J18="","",VLOOKUP(J18,Lists!$K$2:$O$61,3,FALSE)),"")</f>
        <v/>
      </c>
      <c r="N18" s="10"/>
      <c r="O18" s="10"/>
      <c r="P18" s="6"/>
      <c r="Q18" s="10"/>
      <c r="R18" s="6"/>
    </row>
    <row r="19" spans="1:18" x14ac:dyDescent="0.25">
      <c r="A19" s="8"/>
      <c r="B19" s="9" t="str">
        <f>IF(A19="","","W"&amp;(INT((A19-Lists!$B$2)/7)+1))</f>
        <v/>
      </c>
      <c r="C19" s="10"/>
      <c r="D19" s="10"/>
      <c r="E19" s="9" t="str">
        <f t="shared" si="0"/>
        <v/>
      </c>
      <c r="F19" s="11"/>
      <c r="G19" s="10"/>
      <c r="H19" s="10"/>
      <c r="I19" s="10"/>
      <c r="J19" s="10"/>
      <c r="K19" s="12" t="str">
        <f>IFERROR(IF(J19="","",VLOOKUP(J19,Lists!$K$2:$O$61,5,FALSE)),"")</f>
        <v/>
      </c>
      <c r="L19" s="9" t="str">
        <f>IFERROR(IF(J19="","",VLOOKUP(J19,Lists!$K$2:$O$61,2,FALSE)),"")</f>
        <v/>
      </c>
      <c r="M19" s="9" t="str">
        <f>IFERROR(IF(J19="","",VLOOKUP(J19,Lists!$K$2:$O$61,3,FALSE)),"")</f>
        <v/>
      </c>
      <c r="N19" s="10"/>
      <c r="O19" s="10"/>
      <c r="P19" s="6"/>
      <c r="Q19" s="10"/>
      <c r="R19" s="6"/>
    </row>
    <row r="20" spans="1:18" x14ac:dyDescent="0.25">
      <c r="A20" s="8"/>
      <c r="B20" s="9" t="str">
        <f>IF(A20="","","W"&amp;(INT((A20-Lists!$B$2)/7)+1))</f>
        <v/>
      </c>
      <c r="C20" s="10"/>
      <c r="D20" s="10"/>
      <c r="E20" s="9" t="str">
        <f t="shared" si="0"/>
        <v/>
      </c>
      <c r="F20" s="11"/>
      <c r="G20" s="10"/>
      <c r="H20" s="10"/>
      <c r="I20" s="10"/>
      <c r="J20" s="10"/>
      <c r="K20" s="12" t="str">
        <f>IFERROR(IF(J20="","",VLOOKUP(J20,Lists!$K$2:$O$61,5,FALSE)),"")</f>
        <v/>
      </c>
      <c r="L20" s="9" t="str">
        <f>IFERROR(IF(J20="","",VLOOKUP(J20,Lists!$K$2:$O$61,2,FALSE)),"")</f>
        <v/>
      </c>
      <c r="M20" s="9" t="str">
        <f>IFERROR(IF(J20="","",VLOOKUP(J20,Lists!$K$2:$O$61,3,FALSE)),"")</f>
        <v/>
      </c>
      <c r="N20" s="10"/>
      <c r="O20" s="10"/>
      <c r="P20" s="6"/>
      <c r="Q20" s="10"/>
      <c r="R20" s="6"/>
    </row>
    <row r="21" spans="1:18" x14ac:dyDescent="0.25">
      <c r="A21" s="8"/>
      <c r="B21" s="9" t="str">
        <f>IF(A21="","","W"&amp;(INT((A21-Lists!$B$2)/7)+1))</f>
        <v/>
      </c>
      <c r="C21" s="10"/>
      <c r="D21" s="10"/>
      <c r="E21" s="9" t="str">
        <f t="shared" si="0"/>
        <v/>
      </c>
      <c r="F21" s="11"/>
      <c r="G21" s="10"/>
      <c r="H21" s="10"/>
      <c r="I21" s="10"/>
      <c r="J21" s="10"/>
      <c r="K21" s="12" t="str">
        <f>IFERROR(IF(J21="","",VLOOKUP(J21,Lists!$K$2:$O$61,5,FALSE)),"")</f>
        <v/>
      </c>
      <c r="L21" s="9" t="str">
        <f>IFERROR(IF(J21="","",VLOOKUP(J21,Lists!$K$2:$O$61,2,FALSE)),"")</f>
        <v/>
      </c>
      <c r="M21" s="9" t="str">
        <f>IFERROR(IF(J21="","",VLOOKUP(J21,Lists!$K$2:$O$61,3,FALSE)),"")</f>
        <v/>
      </c>
      <c r="N21" s="10"/>
      <c r="O21" s="10"/>
      <c r="P21" s="6"/>
      <c r="Q21" s="10"/>
      <c r="R21" s="6"/>
    </row>
    <row r="22" spans="1:18" x14ac:dyDescent="0.25">
      <c r="A22" s="8"/>
      <c r="B22" s="9" t="str">
        <f>IF(A22="","","W"&amp;(INT((A22-Lists!$B$2)/7)+1))</f>
        <v/>
      </c>
      <c r="C22" s="10"/>
      <c r="D22" s="10"/>
      <c r="E22" s="9" t="str">
        <f t="shared" si="0"/>
        <v/>
      </c>
      <c r="F22" s="11"/>
      <c r="G22" s="10"/>
      <c r="H22" s="10"/>
      <c r="I22" s="10"/>
      <c r="J22" s="10"/>
      <c r="K22" s="12" t="str">
        <f>IFERROR(IF(J22="","",VLOOKUP(J22,Lists!$K$2:$O$61,5,FALSE)),"")</f>
        <v/>
      </c>
      <c r="L22" s="9" t="str">
        <f>IFERROR(IF(J22="","",VLOOKUP(J22,Lists!$K$2:$O$61,2,FALSE)),"")</f>
        <v/>
      </c>
      <c r="M22" s="9" t="str">
        <f>IFERROR(IF(J22="","",VLOOKUP(J22,Lists!$K$2:$O$61,3,FALSE)),"")</f>
        <v/>
      </c>
      <c r="N22" s="10"/>
      <c r="O22" s="10"/>
      <c r="P22" s="6"/>
      <c r="Q22" s="10"/>
      <c r="R22" s="6"/>
    </row>
    <row r="23" spans="1:18" x14ac:dyDescent="0.25">
      <c r="A23" s="8"/>
      <c r="B23" s="9" t="str">
        <f>IF(A23="","","W"&amp;(INT((A23-Lists!$B$2)/7)+1))</f>
        <v/>
      </c>
      <c r="C23" s="10"/>
      <c r="D23" s="10"/>
      <c r="E23" s="9" t="str">
        <f t="shared" si="0"/>
        <v/>
      </c>
      <c r="F23" s="11"/>
      <c r="G23" s="10"/>
      <c r="H23" s="10"/>
      <c r="I23" s="10"/>
      <c r="J23" s="10"/>
      <c r="K23" s="12" t="str">
        <f>IFERROR(IF(J23="","",VLOOKUP(J23,Lists!$K$2:$O$61,5,FALSE)),"")</f>
        <v/>
      </c>
      <c r="L23" s="9" t="str">
        <f>IFERROR(IF(J23="","",VLOOKUP(J23,Lists!$K$2:$O$61,2,FALSE)),"")</f>
        <v/>
      </c>
      <c r="M23" s="9" t="str">
        <f>IFERROR(IF(J23="","",VLOOKUP(J23,Lists!$K$2:$O$61,3,FALSE)),"")</f>
        <v/>
      </c>
      <c r="N23" s="10"/>
      <c r="O23" s="10"/>
      <c r="P23" s="6"/>
      <c r="Q23" s="10"/>
      <c r="R23" s="6"/>
    </row>
    <row r="24" spans="1:18" x14ac:dyDescent="0.25">
      <c r="A24" s="8"/>
      <c r="B24" s="9" t="str">
        <f>IF(A24="","","W"&amp;(INT((A24-Lists!$B$2)/7)+1))</f>
        <v/>
      </c>
      <c r="C24" s="10"/>
      <c r="D24" s="10"/>
      <c r="E24" s="9" t="str">
        <f t="shared" si="0"/>
        <v/>
      </c>
      <c r="F24" s="11"/>
      <c r="G24" s="10"/>
      <c r="H24" s="10"/>
      <c r="I24" s="10"/>
      <c r="J24" s="10"/>
      <c r="K24" s="12" t="str">
        <f>IFERROR(IF(J24="","",VLOOKUP(J24,Lists!$K$2:$O$61,5,FALSE)),"")</f>
        <v/>
      </c>
      <c r="L24" s="9" t="str">
        <f>IFERROR(IF(J24="","",VLOOKUP(J24,Lists!$K$2:$O$61,2,FALSE)),"")</f>
        <v/>
      </c>
      <c r="M24" s="9" t="str">
        <f>IFERROR(IF(J24="","",VLOOKUP(J24,Lists!$K$2:$O$61,3,FALSE)),"")</f>
        <v/>
      </c>
      <c r="N24" s="10"/>
      <c r="O24" s="10"/>
      <c r="P24" s="6"/>
      <c r="Q24" s="10"/>
      <c r="R24" s="6"/>
    </row>
    <row r="25" spans="1:18" x14ac:dyDescent="0.25">
      <c r="A25" s="8"/>
      <c r="B25" s="9" t="str">
        <f>IF(A25="","","W"&amp;(INT((A25-Lists!$B$2)/7)+1))</f>
        <v/>
      </c>
      <c r="C25" s="10"/>
      <c r="D25" s="10"/>
      <c r="E25" s="9" t="str">
        <f t="shared" si="0"/>
        <v/>
      </c>
      <c r="F25" s="11"/>
      <c r="G25" s="10"/>
      <c r="H25" s="10"/>
      <c r="I25" s="10"/>
      <c r="J25" s="10"/>
      <c r="K25" s="12" t="str">
        <f>IFERROR(IF(J25="","",VLOOKUP(J25,Lists!$K$2:$O$61,5,FALSE)),"")</f>
        <v/>
      </c>
      <c r="L25" s="9" t="str">
        <f>IFERROR(IF(J25="","",VLOOKUP(J25,Lists!$K$2:$O$61,2,FALSE)),"")</f>
        <v/>
      </c>
      <c r="M25" s="9" t="str">
        <f>IFERROR(IF(J25="","",VLOOKUP(J25,Lists!$K$2:$O$61,3,FALSE)),"")</f>
        <v/>
      </c>
      <c r="N25" s="10"/>
      <c r="O25" s="10"/>
      <c r="P25" s="6"/>
      <c r="Q25" s="10"/>
      <c r="R25" s="6"/>
    </row>
    <row r="26" spans="1:18" x14ac:dyDescent="0.25">
      <c r="A26" s="8"/>
      <c r="B26" s="9" t="str">
        <f>IF(A26="","","W"&amp;(INT((A26-Lists!$B$2)/7)+1))</f>
        <v/>
      </c>
      <c r="C26" s="10"/>
      <c r="D26" s="10"/>
      <c r="E26" s="9" t="str">
        <f t="shared" si="0"/>
        <v/>
      </c>
      <c r="F26" s="11"/>
      <c r="G26" s="10"/>
      <c r="H26" s="10"/>
      <c r="I26" s="10"/>
      <c r="J26" s="10"/>
      <c r="K26" s="12" t="str">
        <f>IFERROR(IF(J26="","",VLOOKUP(J26,Lists!$K$2:$O$61,5,FALSE)),"")</f>
        <v/>
      </c>
      <c r="L26" s="9" t="str">
        <f>IFERROR(IF(J26="","",VLOOKUP(J26,Lists!$K$2:$O$61,2,FALSE)),"")</f>
        <v/>
      </c>
      <c r="M26" s="9" t="str">
        <f>IFERROR(IF(J26="","",VLOOKUP(J26,Lists!$K$2:$O$61,3,FALSE)),"")</f>
        <v/>
      </c>
      <c r="N26" s="10"/>
      <c r="O26" s="10"/>
      <c r="P26" s="6"/>
      <c r="Q26" s="10"/>
      <c r="R26" s="6"/>
    </row>
    <row r="27" spans="1:18" x14ac:dyDescent="0.25">
      <c r="A27" s="8"/>
      <c r="B27" s="9" t="str">
        <f>IF(A27="","","W"&amp;(INT((A27-Lists!$B$2)/7)+1))</f>
        <v/>
      </c>
      <c r="C27" s="10"/>
      <c r="D27" s="10"/>
      <c r="E27" s="9" t="str">
        <f t="shared" si="0"/>
        <v/>
      </c>
      <c r="F27" s="11"/>
      <c r="G27" s="10"/>
      <c r="H27" s="10"/>
      <c r="I27" s="10"/>
      <c r="J27" s="10"/>
      <c r="K27" s="12" t="str">
        <f>IFERROR(IF(J27="","",VLOOKUP(J27,Lists!$K$2:$O$61,5,FALSE)),"")</f>
        <v/>
      </c>
      <c r="L27" s="9" t="str">
        <f>IFERROR(IF(J27="","",VLOOKUP(J27,Lists!$K$2:$O$61,2,FALSE)),"")</f>
        <v/>
      </c>
      <c r="M27" s="9" t="str">
        <f>IFERROR(IF(J27="","",VLOOKUP(J27,Lists!$K$2:$O$61,3,FALSE)),"")</f>
        <v/>
      </c>
      <c r="N27" s="10"/>
      <c r="O27" s="10"/>
      <c r="P27" s="6"/>
      <c r="Q27" s="10"/>
      <c r="R27" s="6"/>
    </row>
    <row r="28" spans="1:18" x14ac:dyDescent="0.25">
      <c r="A28" s="8"/>
      <c r="B28" s="9" t="str">
        <f>IF(A28="","","W"&amp;(INT((A28-Lists!$B$2)/7)+1))</f>
        <v/>
      </c>
      <c r="C28" s="10"/>
      <c r="D28" s="10"/>
      <c r="E28" s="9" t="str">
        <f t="shared" si="0"/>
        <v/>
      </c>
      <c r="F28" s="11"/>
      <c r="G28" s="10"/>
      <c r="H28" s="10"/>
      <c r="I28" s="10"/>
      <c r="J28" s="10"/>
      <c r="K28" s="12" t="str">
        <f>IFERROR(IF(J28="","",VLOOKUP(J28,Lists!$K$2:$O$61,5,FALSE)),"")</f>
        <v/>
      </c>
      <c r="L28" s="9" t="str">
        <f>IFERROR(IF(J28="","",VLOOKUP(J28,Lists!$K$2:$O$61,2,FALSE)),"")</f>
        <v/>
      </c>
      <c r="M28" s="9" t="str">
        <f>IFERROR(IF(J28="","",VLOOKUP(J28,Lists!$K$2:$O$61,3,FALSE)),"")</f>
        <v/>
      </c>
      <c r="N28" s="10"/>
      <c r="O28" s="10"/>
      <c r="P28" s="6"/>
      <c r="Q28" s="10"/>
      <c r="R28" s="6"/>
    </row>
    <row r="29" spans="1:18" x14ac:dyDescent="0.25">
      <c r="A29" s="8"/>
      <c r="B29" s="9" t="str">
        <f>IF(A29="","","W"&amp;(INT((A29-Lists!$B$2)/7)+1))</f>
        <v/>
      </c>
      <c r="C29" s="10"/>
      <c r="D29" s="10"/>
      <c r="E29" s="9" t="str">
        <f t="shared" si="0"/>
        <v/>
      </c>
      <c r="F29" s="11"/>
      <c r="G29" s="10"/>
      <c r="H29" s="10"/>
      <c r="I29" s="10"/>
      <c r="J29" s="10"/>
      <c r="K29" s="12" t="str">
        <f>IFERROR(IF(J29="","",VLOOKUP(J29,Lists!$K$2:$O$61,5,FALSE)),"")</f>
        <v/>
      </c>
      <c r="L29" s="9" t="str">
        <f>IFERROR(IF(J29="","",VLOOKUP(J29,Lists!$K$2:$O$61,2,FALSE)),"")</f>
        <v/>
      </c>
      <c r="M29" s="9" t="str">
        <f>IFERROR(IF(J29="","",VLOOKUP(J29,Lists!$K$2:$O$61,3,FALSE)),"")</f>
        <v/>
      </c>
      <c r="N29" s="10"/>
      <c r="O29" s="10"/>
      <c r="P29" s="6"/>
      <c r="Q29" s="10"/>
      <c r="R29" s="6"/>
    </row>
    <row r="30" spans="1:18" x14ac:dyDescent="0.25">
      <c r="A30" s="8"/>
      <c r="B30" s="9" t="str">
        <f>IF(A30="","","W"&amp;(INT((A30-Lists!$B$2)/7)+1))</f>
        <v/>
      </c>
      <c r="C30" s="10"/>
      <c r="D30" s="10"/>
      <c r="E30" s="9" t="str">
        <f t="shared" si="0"/>
        <v/>
      </c>
      <c r="F30" s="11"/>
      <c r="G30" s="10"/>
      <c r="H30" s="10"/>
      <c r="I30" s="10"/>
      <c r="J30" s="10"/>
      <c r="K30" s="12" t="str">
        <f>IFERROR(IF(J30="","",VLOOKUP(J30,Lists!$K$2:$O$61,5,FALSE)),"")</f>
        <v/>
      </c>
      <c r="L30" s="9" t="str">
        <f>IFERROR(IF(J30="","",VLOOKUP(J30,Lists!$K$2:$O$61,2,FALSE)),"")</f>
        <v/>
      </c>
      <c r="M30" s="9" t="str">
        <f>IFERROR(IF(J30="","",VLOOKUP(J30,Lists!$K$2:$O$61,3,FALSE)),"")</f>
        <v/>
      </c>
      <c r="N30" s="10"/>
      <c r="O30" s="10"/>
      <c r="P30" s="6"/>
      <c r="Q30" s="10"/>
      <c r="R30" s="6"/>
    </row>
    <row r="31" spans="1:18" x14ac:dyDescent="0.25">
      <c r="A31" s="8"/>
      <c r="B31" s="9" t="str">
        <f>IF(A31="","","W"&amp;(INT((A31-Lists!$B$2)/7)+1))</f>
        <v/>
      </c>
      <c r="C31" s="10"/>
      <c r="D31" s="10"/>
      <c r="E31" s="9" t="str">
        <f t="shared" si="0"/>
        <v/>
      </c>
      <c r="F31" s="11"/>
      <c r="G31" s="10"/>
      <c r="H31" s="10"/>
      <c r="I31" s="10"/>
      <c r="J31" s="10"/>
      <c r="K31" s="12" t="str">
        <f>IFERROR(IF(J31="","",VLOOKUP(J31,Lists!$K$2:$O$61,5,FALSE)),"")</f>
        <v/>
      </c>
      <c r="L31" s="9" t="str">
        <f>IFERROR(IF(J31="","",VLOOKUP(J31,Lists!$K$2:$O$61,2,FALSE)),"")</f>
        <v/>
      </c>
      <c r="M31" s="9" t="str">
        <f>IFERROR(IF(J31="","",VLOOKUP(J31,Lists!$K$2:$O$61,3,FALSE)),"")</f>
        <v/>
      </c>
      <c r="N31" s="10"/>
      <c r="O31" s="10"/>
      <c r="P31" s="6"/>
      <c r="Q31" s="10"/>
      <c r="R31" s="6"/>
    </row>
    <row r="32" spans="1:18" x14ac:dyDescent="0.25">
      <c r="A32" s="8"/>
      <c r="B32" s="9" t="str">
        <f>IF(A32="","","W"&amp;(INT((A32-Lists!$B$2)/7)+1))</f>
        <v/>
      </c>
      <c r="C32" s="10"/>
      <c r="D32" s="10"/>
      <c r="E32" s="9" t="str">
        <f t="shared" si="0"/>
        <v/>
      </c>
      <c r="F32" s="11"/>
      <c r="G32" s="10"/>
      <c r="H32" s="10"/>
      <c r="I32" s="10"/>
      <c r="J32" s="10"/>
      <c r="K32" s="12" t="str">
        <f>IFERROR(IF(J32="","",VLOOKUP(J32,Lists!$K$2:$O$61,5,FALSE)),"")</f>
        <v/>
      </c>
      <c r="L32" s="9" t="str">
        <f>IFERROR(IF(J32="","",VLOOKUP(J32,Lists!$K$2:$O$61,2,FALSE)),"")</f>
        <v/>
      </c>
      <c r="M32" s="9" t="str">
        <f>IFERROR(IF(J32="","",VLOOKUP(J32,Lists!$K$2:$O$61,3,FALSE)),"")</f>
        <v/>
      </c>
      <c r="N32" s="10"/>
      <c r="O32" s="10"/>
      <c r="P32" s="6"/>
      <c r="Q32" s="10"/>
      <c r="R32" s="6"/>
    </row>
    <row r="33" spans="1:18" x14ac:dyDescent="0.25">
      <c r="A33" s="8"/>
      <c r="B33" s="9" t="str">
        <f>IF(A33="","","W"&amp;(INT((A33-Lists!$B$2)/7)+1))</f>
        <v/>
      </c>
      <c r="C33" s="10"/>
      <c r="D33" s="10"/>
      <c r="E33" s="9" t="str">
        <f t="shared" si="0"/>
        <v/>
      </c>
      <c r="F33" s="11"/>
      <c r="G33" s="10"/>
      <c r="H33" s="10"/>
      <c r="I33" s="10"/>
      <c r="J33" s="10"/>
      <c r="K33" s="12" t="str">
        <f>IFERROR(IF(J33="","",VLOOKUP(J33,Lists!$K$2:$O$61,5,FALSE)),"")</f>
        <v/>
      </c>
      <c r="L33" s="9" t="str">
        <f>IFERROR(IF(J33="","",VLOOKUP(J33,Lists!$K$2:$O$61,2,FALSE)),"")</f>
        <v/>
      </c>
      <c r="M33" s="9" t="str">
        <f>IFERROR(IF(J33="","",VLOOKUP(J33,Lists!$K$2:$O$61,3,FALSE)),"")</f>
        <v/>
      </c>
      <c r="N33" s="10"/>
      <c r="O33" s="10"/>
      <c r="P33" s="6"/>
      <c r="Q33" s="10"/>
      <c r="R33" s="6"/>
    </row>
    <row r="34" spans="1:18" x14ac:dyDescent="0.25">
      <c r="A34" s="8"/>
      <c r="B34" s="9" t="str">
        <f>IF(A34="","","W"&amp;(INT((A34-Lists!$B$2)/7)+1))</f>
        <v/>
      </c>
      <c r="C34" s="10"/>
      <c r="D34" s="10"/>
      <c r="E34" s="9" t="str">
        <f t="shared" si="0"/>
        <v/>
      </c>
      <c r="F34" s="11"/>
      <c r="G34" s="10"/>
      <c r="H34" s="10"/>
      <c r="I34" s="10"/>
      <c r="J34" s="10"/>
      <c r="K34" s="12" t="str">
        <f>IFERROR(IF(J34="","",VLOOKUP(J34,Lists!$K$2:$O$61,5,FALSE)),"")</f>
        <v/>
      </c>
      <c r="L34" s="9" t="str">
        <f>IFERROR(IF(J34="","",VLOOKUP(J34,Lists!$K$2:$O$61,2,FALSE)),"")</f>
        <v/>
      </c>
      <c r="M34" s="9" t="str">
        <f>IFERROR(IF(J34="","",VLOOKUP(J34,Lists!$K$2:$O$61,3,FALSE)),"")</f>
        <v/>
      </c>
      <c r="N34" s="10"/>
      <c r="O34" s="10"/>
      <c r="P34" s="6"/>
      <c r="Q34" s="10"/>
      <c r="R34" s="6"/>
    </row>
    <row r="35" spans="1:18" x14ac:dyDescent="0.25">
      <c r="A35" s="8"/>
      <c r="B35" s="9" t="str">
        <f>IF(A35="","","W"&amp;(INT((A35-Lists!$B$2)/7)+1))</f>
        <v/>
      </c>
      <c r="C35" s="10"/>
      <c r="D35" s="10"/>
      <c r="E35" s="9" t="str">
        <f t="shared" si="0"/>
        <v/>
      </c>
      <c r="F35" s="11"/>
      <c r="G35" s="10"/>
      <c r="H35" s="10"/>
      <c r="I35" s="10"/>
      <c r="J35" s="10"/>
      <c r="K35" s="12" t="str">
        <f>IFERROR(IF(J35="","",VLOOKUP(J35,Lists!$K$2:$O$61,5,FALSE)),"")</f>
        <v/>
      </c>
      <c r="L35" s="9" t="str">
        <f>IFERROR(IF(J35="","",VLOOKUP(J35,Lists!$K$2:$O$61,2,FALSE)),"")</f>
        <v/>
      </c>
      <c r="M35" s="9" t="str">
        <f>IFERROR(IF(J35="","",VLOOKUP(J35,Lists!$K$2:$O$61,3,FALSE)),"")</f>
        <v/>
      </c>
      <c r="N35" s="10"/>
      <c r="O35" s="10"/>
      <c r="P35" s="6"/>
      <c r="Q35" s="10"/>
      <c r="R35" s="6"/>
    </row>
    <row r="36" spans="1:18" x14ac:dyDescent="0.25">
      <c r="A36" s="8"/>
      <c r="B36" s="9" t="str">
        <f>IF(A36="","","W"&amp;(INT((A36-Lists!$B$2)/7)+1))</f>
        <v/>
      </c>
      <c r="C36" s="10"/>
      <c r="D36" s="10"/>
      <c r="E36" s="9" t="str">
        <f t="shared" si="0"/>
        <v/>
      </c>
      <c r="F36" s="11"/>
      <c r="G36" s="10"/>
      <c r="H36" s="10"/>
      <c r="I36" s="10"/>
      <c r="J36" s="10"/>
      <c r="K36" s="12" t="str">
        <f>IFERROR(IF(J36="","",VLOOKUP(J36,Lists!$K$2:$O$61,5,FALSE)),"")</f>
        <v/>
      </c>
      <c r="L36" s="9" t="str">
        <f>IFERROR(IF(J36="","",VLOOKUP(J36,Lists!$K$2:$O$61,2,FALSE)),"")</f>
        <v/>
      </c>
      <c r="M36" s="9" t="str">
        <f>IFERROR(IF(J36="","",VLOOKUP(J36,Lists!$K$2:$O$61,3,FALSE)),"")</f>
        <v/>
      </c>
      <c r="N36" s="10"/>
      <c r="O36" s="10"/>
      <c r="P36" s="6"/>
      <c r="Q36" s="10"/>
      <c r="R36" s="6"/>
    </row>
    <row r="37" spans="1:18" x14ac:dyDescent="0.25">
      <c r="A37" s="8"/>
      <c r="B37" s="9" t="str">
        <f>IF(A37="","","W"&amp;(INT((A37-Lists!$B$2)/7)+1))</f>
        <v/>
      </c>
      <c r="C37" s="10"/>
      <c r="D37" s="10"/>
      <c r="E37" s="9" t="str">
        <f t="shared" si="0"/>
        <v/>
      </c>
      <c r="F37" s="11"/>
      <c r="G37" s="10"/>
      <c r="H37" s="10"/>
      <c r="I37" s="10"/>
      <c r="J37" s="10"/>
      <c r="K37" s="12" t="str">
        <f>IFERROR(IF(J37="","",VLOOKUP(J37,Lists!$K$2:$O$61,5,FALSE)),"")</f>
        <v/>
      </c>
      <c r="L37" s="9" t="str">
        <f>IFERROR(IF(J37="","",VLOOKUP(J37,Lists!$K$2:$O$61,2,FALSE)),"")</f>
        <v/>
      </c>
      <c r="M37" s="9" t="str">
        <f>IFERROR(IF(J37="","",VLOOKUP(J37,Lists!$K$2:$O$61,3,FALSE)),"")</f>
        <v/>
      </c>
      <c r="N37" s="10"/>
      <c r="O37" s="10"/>
      <c r="P37" s="6"/>
      <c r="Q37" s="10"/>
      <c r="R37" s="6"/>
    </row>
    <row r="38" spans="1:18" x14ac:dyDescent="0.25">
      <c r="A38" s="8"/>
      <c r="B38" s="9" t="str">
        <f>IF(A38="","","W"&amp;(INT((A38-Lists!$B$2)/7)+1))</f>
        <v/>
      </c>
      <c r="C38" s="10"/>
      <c r="D38" s="10"/>
      <c r="E38" s="9" t="str">
        <f t="shared" si="0"/>
        <v/>
      </c>
      <c r="F38" s="11"/>
      <c r="G38" s="10"/>
      <c r="H38" s="10"/>
      <c r="I38" s="10"/>
      <c r="J38" s="10"/>
      <c r="K38" s="12" t="str">
        <f>IFERROR(IF(J38="","",VLOOKUP(J38,Lists!$K$2:$O$61,5,FALSE)),"")</f>
        <v/>
      </c>
      <c r="L38" s="9" t="str">
        <f>IFERROR(IF(J38="","",VLOOKUP(J38,Lists!$K$2:$O$61,2,FALSE)),"")</f>
        <v/>
      </c>
      <c r="M38" s="9" t="str">
        <f>IFERROR(IF(J38="","",VLOOKUP(J38,Lists!$K$2:$O$61,3,FALSE)),"")</f>
        <v/>
      </c>
      <c r="N38" s="10"/>
      <c r="O38" s="10"/>
      <c r="P38" s="6"/>
      <c r="Q38" s="10"/>
      <c r="R38" s="6"/>
    </row>
    <row r="39" spans="1:18" x14ac:dyDescent="0.25">
      <c r="A39" s="8"/>
      <c r="B39" s="9" t="str">
        <f>IF(A39="","","W"&amp;(INT((A39-Lists!$B$2)/7)+1))</f>
        <v/>
      </c>
      <c r="C39" s="10"/>
      <c r="D39" s="10"/>
      <c r="E39" s="9" t="str">
        <f t="shared" si="0"/>
        <v/>
      </c>
      <c r="F39" s="11"/>
      <c r="G39" s="10"/>
      <c r="H39" s="10"/>
      <c r="I39" s="10"/>
      <c r="J39" s="10"/>
      <c r="K39" s="12" t="str">
        <f>IFERROR(IF(J39="","",VLOOKUP(J39,Lists!$K$2:$O$61,5,FALSE)),"")</f>
        <v/>
      </c>
      <c r="L39" s="9" t="str">
        <f>IFERROR(IF(J39="","",VLOOKUP(J39,Lists!$K$2:$O$61,2,FALSE)),"")</f>
        <v/>
      </c>
      <c r="M39" s="9" t="str">
        <f>IFERROR(IF(J39="","",VLOOKUP(J39,Lists!$K$2:$O$61,3,FALSE)),"")</f>
        <v/>
      </c>
      <c r="N39" s="10"/>
      <c r="O39" s="10"/>
      <c r="P39" s="6"/>
      <c r="Q39" s="10"/>
      <c r="R39" s="6"/>
    </row>
    <row r="40" spans="1:18" x14ac:dyDescent="0.25">
      <c r="A40" s="8"/>
      <c r="B40" s="9" t="str">
        <f>IF(A40="","","W"&amp;(INT((A40-Lists!$B$2)/7)+1))</f>
        <v/>
      </c>
      <c r="C40" s="10"/>
      <c r="D40" s="10"/>
      <c r="E40" s="9" t="str">
        <f t="shared" si="0"/>
        <v/>
      </c>
      <c r="F40" s="11"/>
      <c r="G40" s="10"/>
      <c r="H40" s="10"/>
      <c r="I40" s="10"/>
      <c r="J40" s="10"/>
      <c r="K40" s="12" t="str">
        <f>IFERROR(IF(J40="","",VLOOKUP(J40,Lists!$K$2:$O$61,5,FALSE)),"")</f>
        <v/>
      </c>
      <c r="L40" s="9" t="str">
        <f>IFERROR(IF(J40="","",VLOOKUP(J40,Lists!$K$2:$O$61,2,FALSE)),"")</f>
        <v/>
      </c>
      <c r="M40" s="9" t="str">
        <f>IFERROR(IF(J40="","",VLOOKUP(J40,Lists!$K$2:$O$61,3,FALSE)),"")</f>
        <v/>
      </c>
      <c r="N40" s="10"/>
      <c r="O40" s="10"/>
      <c r="P40" s="6"/>
      <c r="Q40" s="10"/>
      <c r="R40" s="6"/>
    </row>
    <row r="41" spans="1:18" x14ac:dyDescent="0.25">
      <c r="A41" s="8"/>
      <c r="B41" s="9" t="str">
        <f>IF(A41="","","W"&amp;(INT((A41-Lists!$B$2)/7)+1))</f>
        <v/>
      </c>
      <c r="C41" s="10"/>
      <c r="D41" s="10"/>
      <c r="E41" s="9" t="str">
        <f t="shared" si="0"/>
        <v/>
      </c>
      <c r="F41" s="11"/>
      <c r="G41" s="10"/>
      <c r="H41" s="10"/>
      <c r="I41" s="10"/>
      <c r="J41" s="10"/>
      <c r="K41" s="12" t="str">
        <f>IFERROR(IF(J41="","",VLOOKUP(J41,Lists!$K$2:$O$61,5,FALSE)),"")</f>
        <v/>
      </c>
      <c r="L41" s="9" t="str">
        <f>IFERROR(IF(J41="","",VLOOKUP(J41,Lists!$K$2:$O$61,2,FALSE)),"")</f>
        <v/>
      </c>
      <c r="M41" s="9" t="str">
        <f>IFERROR(IF(J41="","",VLOOKUP(J41,Lists!$K$2:$O$61,3,FALSE)),"")</f>
        <v/>
      </c>
      <c r="N41" s="10"/>
      <c r="O41" s="10"/>
      <c r="P41" s="6"/>
      <c r="Q41" s="10"/>
      <c r="R41" s="6"/>
    </row>
    <row r="42" spans="1:18" x14ac:dyDescent="0.25">
      <c r="A42" s="8"/>
      <c r="B42" s="9" t="str">
        <f>IF(A42="","","W"&amp;(INT((A42-Lists!$B$2)/7)+1))</f>
        <v/>
      </c>
      <c r="C42" s="10"/>
      <c r="D42" s="10"/>
      <c r="E42" s="9" t="str">
        <f t="shared" si="0"/>
        <v/>
      </c>
      <c r="F42" s="11"/>
      <c r="G42" s="10"/>
      <c r="H42" s="10"/>
      <c r="I42" s="10"/>
      <c r="J42" s="10"/>
      <c r="K42" s="12" t="str">
        <f>IFERROR(IF(J42="","",VLOOKUP(J42,Lists!$K$2:$O$61,5,FALSE)),"")</f>
        <v/>
      </c>
      <c r="L42" s="9" t="str">
        <f>IFERROR(IF(J42="","",VLOOKUP(J42,Lists!$K$2:$O$61,2,FALSE)),"")</f>
        <v/>
      </c>
      <c r="M42" s="9" t="str">
        <f>IFERROR(IF(J42="","",VLOOKUP(J42,Lists!$K$2:$O$61,3,FALSE)),"")</f>
        <v/>
      </c>
      <c r="N42" s="10"/>
      <c r="O42" s="10"/>
      <c r="P42" s="6"/>
      <c r="Q42" s="10"/>
      <c r="R42" s="6"/>
    </row>
    <row r="43" spans="1:18" x14ac:dyDescent="0.25">
      <c r="A43" s="8"/>
      <c r="B43" s="9" t="str">
        <f>IF(A43="","","W"&amp;(INT((A43-Lists!$B$2)/7)+1))</f>
        <v/>
      </c>
      <c r="C43" s="10"/>
      <c r="D43" s="10"/>
      <c r="E43" s="9" t="str">
        <f t="shared" si="0"/>
        <v/>
      </c>
      <c r="F43" s="11"/>
      <c r="G43" s="10"/>
      <c r="H43" s="10"/>
      <c r="I43" s="10"/>
      <c r="J43" s="10"/>
      <c r="K43" s="12" t="str">
        <f>IFERROR(IF(J43="","",VLOOKUP(J43,Lists!$K$2:$O$61,5,FALSE)),"")</f>
        <v/>
      </c>
      <c r="L43" s="9" t="str">
        <f>IFERROR(IF(J43="","",VLOOKUP(J43,Lists!$K$2:$O$61,2,FALSE)),"")</f>
        <v/>
      </c>
      <c r="M43" s="9" t="str">
        <f>IFERROR(IF(J43="","",VLOOKUP(J43,Lists!$K$2:$O$61,3,FALSE)),"")</f>
        <v/>
      </c>
      <c r="N43" s="10"/>
      <c r="O43" s="10"/>
      <c r="P43" s="6"/>
      <c r="Q43" s="10"/>
      <c r="R43" s="6"/>
    </row>
    <row r="44" spans="1:18" x14ac:dyDescent="0.25">
      <c r="A44" s="8"/>
      <c r="B44" s="9" t="str">
        <f>IF(A44="","","W"&amp;(INT((A44-Lists!$B$2)/7)+1))</f>
        <v/>
      </c>
      <c r="C44" s="10"/>
      <c r="D44" s="10"/>
      <c r="E44" s="9" t="str">
        <f t="shared" si="0"/>
        <v/>
      </c>
      <c r="F44" s="11"/>
      <c r="G44" s="10"/>
      <c r="H44" s="10"/>
      <c r="I44" s="10"/>
      <c r="J44" s="10"/>
      <c r="K44" s="12" t="str">
        <f>IFERROR(IF(J44="","",VLOOKUP(J44,Lists!$K$2:$O$61,5,FALSE)),"")</f>
        <v/>
      </c>
      <c r="L44" s="9" t="str">
        <f>IFERROR(IF(J44="","",VLOOKUP(J44,Lists!$K$2:$O$61,2,FALSE)),"")</f>
        <v/>
      </c>
      <c r="M44" s="9" t="str">
        <f>IFERROR(IF(J44="","",VLOOKUP(J44,Lists!$K$2:$O$61,3,FALSE)),"")</f>
        <v/>
      </c>
      <c r="N44" s="10"/>
      <c r="O44" s="10"/>
      <c r="P44" s="6"/>
      <c r="Q44" s="10"/>
      <c r="R44" s="6"/>
    </row>
    <row r="45" spans="1:18" x14ac:dyDescent="0.25">
      <c r="A45" s="8"/>
      <c r="B45" s="9" t="str">
        <f>IF(A45="","","W"&amp;(INT((A45-Lists!$B$2)/7)+1))</f>
        <v/>
      </c>
      <c r="C45" s="10"/>
      <c r="D45" s="10"/>
      <c r="E45" s="9" t="str">
        <f t="shared" si="0"/>
        <v/>
      </c>
      <c r="F45" s="11"/>
      <c r="G45" s="10"/>
      <c r="H45" s="10"/>
      <c r="I45" s="10"/>
      <c r="J45" s="10"/>
      <c r="K45" s="12" t="str">
        <f>IFERROR(IF(J45="","",VLOOKUP(J45,Lists!$K$2:$O$61,5,FALSE)),"")</f>
        <v/>
      </c>
      <c r="L45" s="9" t="str">
        <f>IFERROR(IF(J45="","",VLOOKUP(J45,Lists!$K$2:$O$61,2,FALSE)),"")</f>
        <v/>
      </c>
      <c r="M45" s="9" t="str">
        <f>IFERROR(IF(J45="","",VLOOKUP(J45,Lists!$K$2:$O$61,3,FALSE)),"")</f>
        <v/>
      </c>
      <c r="N45" s="10"/>
      <c r="O45" s="10"/>
      <c r="P45" s="6"/>
      <c r="Q45" s="10"/>
      <c r="R45" s="6"/>
    </row>
    <row r="46" spans="1:18" x14ac:dyDescent="0.25">
      <c r="A46" s="8"/>
      <c r="B46" s="9" t="str">
        <f>IF(A46="","","W"&amp;(INT((A46-Lists!$B$2)/7)+1))</f>
        <v/>
      </c>
      <c r="C46" s="10"/>
      <c r="D46" s="10"/>
      <c r="E46" s="9" t="str">
        <f t="shared" si="0"/>
        <v/>
      </c>
      <c r="F46" s="11"/>
      <c r="G46" s="10"/>
      <c r="H46" s="10"/>
      <c r="I46" s="10"/>
      <c r="J46" s="10"/>
      <c r="K46" s="12" t="str">
        <f>IFERROR(IF(J46="","",VLOOKUP(J46,Lists!$K$2:$O$61,5,FALSE)),"")</f>
        <v/>
      </c>
      <c r="L46" s="9" t="str">
        <f>IFERROR(IF(J46="","",VLOOKUP(J46,Lists!$K$2:$O$61,2,FALSE)),"")</f>
        <v/>
      </c>
      <c r="M46" s="9" t="str">
        <f>IFERROR(IF(J46="","",VLOOKUP(J46,Lists!$K$2:$O$61,3,FALSE)),"")</f>
        <v/>
      </c>
      <c r="N46" s="10"/>
      <c r="O46" s="10"/>
      <c r="P46" s="6"/>
      <c r="Q46" s="10"/>
      <c r="R46" s="6"/>
    </row>
    <row r="47" spans="1:18" x14ac:dyDescent="0.25">
      <c r="A47" s="8"/>
      <c r="B47" s="9" t="str">
        <f>IF(A47="","","W"&amp;(INT((A47-Lists!$B$2)/7)+1))</f>
        <v/>
      </c>
      <c r="C47" s="10"/>
      <c r="D47" s="10"/>
      <c r="E47" s="9" t="str">
        <f t="shared" si="0"/>
        <v/>
      </c>
      <c r="F47" s="11"/>
      <c r="G47" s="10"/>
      <c r="H47" s="10"/>
      <c r="I47" s="10"/>
      <c r="J47" s="10"/>
      <c r="K47" s="12" t="str">
        <f>IFERROR(IF(J47="","",VLOOKUP(J47,Lists!$K$2:$O$61,5,FALSE)),"")</f>
        <v/>
      </c>
      <c r="L47" s="9" t="str">
        <f>IFERROR(IF(J47="","",VLOOKUP(J47,Lists!$K$2:$O$61,2,FALSE)),"")</f>
        <v/>
      </c>
      <c r="M47" s="9" t="str">
        <f>IFERROR(IF(J47="","",VLOOKUP(J47,Lists!$K$2:$O$61,3,FALSE)),"")</f>
        <v/>
      </c>
      <c r="N47" s="10"/>
      <c r="O47" s="10"/>
      <c r="P47" s="6"/>
      <c r="Q47" s="10"/>
      <c r="R47" s="6"/>
    </row>
    <row r="48" spans="1:18" x14ac:dyDescent="0.25">
      <c r="A48" s="8"/>
      <c r="B48" s="9" t="str">
        <f>IF(A48="","","W"&amp;(INT((A48-Lists!$B$2)/7)+1))</f>
        <v/>
      </c>
      <c r="C48" s="10"/>
      <c r="D48" s="10"/>
      <c r="E48" s="9" t="str">
        <f t="shared" si="0"/>
        <v/>
      </c>
      <c r="F48" s="11"/>
      <c r="G48" s="10"/>
      <c r="H48" s="10"/>
      <c r="I48" s="10"/>
      <c r="J48" s="10"/>
      <c r="K48" s="12" t="str">
        <f>IFERROR(IF(J48="","",VLOOKUP(J48,Lists!$K$2:$O$61,5,FALSE)),"")</f>
        <v/>
      </c>
      <c r="L48" s="9" t="str">
        <f>IFERROR(IF(J48="","",VLOOKUP(J48,Lists!$K$2:$O$61,2,FALSE)),"")</f>
        <v/>
      </c>
      <c r="M48" s="9" t="str">
        <f>IFERROR(IF(J48="","",VLOOKUP(J48,Lists!$K$2:$O$61,3,FALSE)),"")</f>
        <v/>
      </c>
      <c r="N48" s="10"/>
      <c r="O48" s="10"/>
      <c r="P48" s="6"/>
      <c r="Q48" s="10"/>
      <c r="R48" s="6"/>
    </row>
    <row r="49" spans="1:18" x14ac:dyDescent="0.25">
      <c r="A49" s="8"/>
      <c r="B49" s="9" t="str">
        <f>IF(A49="","","W"&amp;(INT((A49-Lists!$B$2)/7)+1))</f>
        <v/>
      </c>
      <c r="C49" s="10"/>
      <c r="D49" s="10"/>
      <c r="E49" s="9" t="str">
        <f t="shared" si="0"/>
        <v/>
      </c>
      <c r="F49" s="11"/>
      <c r="G49" s="10"/>
      <c r="H49" s="10"/>
      <c r="I49" s="10"/>
      <c r="J49" s="10"/>
      <c r="K49" s="12" t="str">
        <f>IFERROR(IF(J49="","",VLOOKUP(J49,Lists!$K$2:$O$61,5,FALSE)),"")</f>
        <v/>
      </c>
      <c r="L49" s="9" t="str">
        <f>IFERROR(IF(J49="","",VLOOKUP(J49,Lists!$K$2:$O$61,2,FALSE)),"")</f>
        <v/>
      </c>
      <c r="M49" s="9" t="str">
        <f>IFERROR(IF(J49="","",VLOOKUP(J49,Lists!$K$2:$O$61,3,FALSE)),"")</f>
        <v/>
      </c>
      <c r="N49" s="10"/>
      <c r="O49" s="10"/>
      <c r="P49" s="6"/>
      <c r="Q49" s="10"/>
      <c r="R49" s="6"/>
    </row>
    <row r="50" spans="1:18" x14ac:dyDescent="0.25">
      <c r="A50" s="8"/>
      <c r="B50" s="9" t="str">
        <f>IF(A50="","","W"&amp;(INT((A50-Lists!$B$2)/7)+1))</f>
        <v/>
      </c>
      <c r="C50" s="10"/>
      <c r="D50" s="10"/>
      <c r="E50" s="9" t="str">
        <f t="shared" si="0"/>
        <v/>
      </c>
      <c r="F50" s="11"/>
      <c r="G50" s="10"/>
      <c r="H50" s="10"/>
      <c r="I50" s="10"/>
      <c r="J50" s="10"/>
      <c r="K50" s="12" t="str">
        <f>IFERROR(IF(J50="","",VLOOKUP(J50,Lists!$K$2:$O$61,5,FALSE)),"")</f>
        <v/>
      </c>
      <c r="L50" s="9" t="str">
        <f>IFERROR(IF(J50="","",VLOOKUP(J50,Lists!$K$2:$O$61,2,FALSE)),"")</f>
        <v/>
      </c>
      <c r="M50" s="9" t="str">
        <f>IFERROR(IF(J50="","",VLOOKUP(J50,Lists!$K$2:$O$61,3,FALSE)),"")</f>
        <v/>
      </c>
      <c r="N50" s="10"/>
      <c r="O50" s="10"/>
      <c r="P50" s="6"/>
      <c r="Q50" s="10"/>
      <c r="R50" s="6"/>
    </row>
    <row r="51" spans="1:18" x14ac:dyDescent="0.25">
      <c r="A51" s="8"/>
      <c r="B51" s="9" t="str">
        <f>IF(A51="","","W"&amp;(INT((A51-Lists!$B$2)/7)+1))</f>
        <v/>
      </c>
      <c r="C51" s="10"/>
      <c r="D51" s="10"/>
      <c r="E51" s="9" t="str">
        <f t="shared" si="0"/>
        <v/>
      </c>
      <c r="F51" s="11"/>
      <c r="G51" s="10"/>
      <c r="H51" s="10"/>
      <c r="I51" s="10"/>
      <c r="J51" s="10"/>
      <c r="K51" s="12" t="str">
        <f>IFERROR(IF(J51="","",VLOOKUP(J51,Lists!$K$2:$O$61,5,FALSE)),"")</f>
        <v/>
      </c>
      <c r="L51" s="9" t="str">
        <f>IFERROR(IF(J51="","",VLOOKUP(J51,Lists!$K$2:$O$61,2,FALSE)),"")</f>
        <v/>
      </c>
      <c r="M51" s="9" t="str">
        <f>IFERROR(IF(J51="","",VLOOKUP(J51,Lists!$K$2:$O$61,3,FALSE)),"")</f>
        <v/>
      </c>
      <c r="N51" s="10"/>
      <c r="O51" s="10"/>
      <c r="P51" s="6"/>
      <c r="Q51" s="10"/>
      <c r="R51" s="6"/>
    </row>
    <row r="52" spans="1:18" x14ac:dyDescent="0.25">
      <c r="A52" s="8"/>
      <c r="B52" s="9" t="str">
        <f>IF(A52="","","W"&amp;(INT((A52-Lists!$B$2)/7)+1))</f>
        <v/>
      </c>
      <c r="C52" s="10"/>
      <c r="D52" s="10"/>
      <c r="E52" s="9" t="str">
        <f t="shared" si="0"/>
        <v/>
      </c>
      <c r="F52" s="11"/>
      <c r="G52" s="10"/>
      <c r="H52" s="10"/>
      <c r="I52" s="10"/>
      <c r="J52" s="10"/>
      <c r="K52" s="12" t="str">
        <f>IFERROR(IF(J52="","",VLOOKUP(J52,Lists!$K$2:$O$61,5,FALSE)),"")</f>
        <v/>
      </c>
      <c r="L52" s="9" t="str">
        <f>IFERROR(IF(J52="","",VLOOKUP(J52,Lists!$K$2:$O$61,2,FALSE)),"")</f>
        <v/>
      </c>
      <c r="M52" s="9" t="str">
        <f>IFERROR(IF(J52="","",VLOOKUP(J52,Lists!$K$2:$O$61,3,FALSE)),"")</f>
        <v/>
      </c>
      <c r="N52" s="10"/>
      <c r="O52" s="10"/>
      <c r="P52" s="6"/>
      <c r="Q52" s="10"/>
      <c r="R52" s="6"/>
    </row>
    <row r="53" spans="1:18" x14ac:dyDescent="0.25">
      <c r="A53" s="8"/>
      <c r="B53" s="9" t="str">
        <f>IF(A53="","","W"&amp;(INT((A53-Lists!$B$2)/7)+1))</f>
        <v/>
      </c>
      <c r="C53" s="10"/>
      <c r="D53" s="10"/>
      <c r="E53" s="9" t="str">
        <f t="shared" si="0"/>
        <v/>
      </c>
      <c r="F53" s="11"/>
      <c r="G53" s="10"/>
      <c r="H53" s="10"/>
      <c r="I53" s="10"/>
      <c r="J53" s="10"/>
      <c r="K53" s="12" t="str">
        <f>IFERROR(IF(J53="","",VLOOKUP(J53,Lists!$K$2:$O$61,5,FALSE)),"")</f>
        <v/>
      </c>
      <c r="L53" s="9" t="str">
        <f>IFERROR(IF(J53="","",VLOOKUP(J53,Lists!$K$2:$O$61,2,FALSE)),"")</f>
        <v/>
      </c>
      <c r="M53" s="9" t="str">
        <f>IFERROR(IF(J53="","",VLOOKUP(J53,Lists!$K$2:$O$61,3,FALSE)),"")</f>
        <v/>
      </c>
      <c r="N53" s="10"/>
      <c r="O53" s="10"/>
      <c r="P53" s="6"/>
      <c r="Q53" s="10"/>
      <c r="R53" s="6"/>
    </row>
    <row r="54" spans="1:18" x14ac:dyDescent="0.25">
      <c r="A54" s="8"/>
      <c r="B54" s="9" t="str">
        <f>IF(A54="","","W"&amp;(INT((A54-Lists!$B$2)/7)+1))</f>
        <v/>
      </c>
      <c r="C54" s="10"/>
      <c r="D54" s="10"/>
      <c r="E54" s="9" t="str">
        <f t="shared" si="0"/>
        <v/>
      </c>
      <c r="F54" s="11"/>
      <c r="G54" s="10"/>
      <c r="H54" s="10"/>
      <c r="I54" s="10"/>
      <c r="J54" s="10"/>
      <c r="K54" s="12" t="str">
        <f>IFERROR(IF(J54="","",VLOOKUP(J54,Lists!$K$2:$O$61,5,FALSE)),"")</f>
        <v/>
      </c>
      <c r="L54" s="9" t="str">
        <f>IFERROR(IF(J54="","",VLOOKUP(J54,Lists!$K$2:$O$61,2,FALSE)),"")</f>
        <v/>
      </c>
      <c r="M54" s="9" t="str">
        <f>IFERROR(IF(J54="","",VLOOKUP(J54,Lists!$K$2:$O$61,3,FALSE)),"")</f>
        <v/>
      </c>
      <c r="N54" s="10"/>
      <c r="O54" s="10"/>
      <c r="P54" s="6"/>
      <c r="Q54" s="10"/>
      <c r="R54" s="6"/>
    </row>
    <row r="55" spans="1:18" x14ac:dyDescent="0.25">
      <c r="A55" s="8"/>
      <c r="B55" s="9" t="str">
        <f>IF(A55="","","W"&amp;(INT((A55-Lists!$B$2)/7)+1))</f>
        <v/>
      </c>
      <c r="C55" s="10"/>
      <c r="D55" s="10"/>
      <c r="E55" s="9" t="str">
        <f t="shared" si="0"/>
        <v/>
      </c>
      <c r="F55" s="11"/>
      <c r="G55" s="10"/>
      <c r="H55" s="10"/>
      <c r="I55" s="10"/>
      <c r="J55" s="10"/>
      <c r="K55" s="12" t="str">
        <f>IFERROR(IF(J55="","",VLOOKUP(J55,Lists!$K$2:$O$61,5,FALSE)),"")</f>
        <v/>
      </c>
      <c r="L55" s="9" t="str">
        <f>IFERROR(IF(J55="","",VLOOKUP(J55,Lists!$K$2:$O$61,2,FALSE)),"")</f>
        <v/>
      </c>
      <c r="M55" s="9" t="str">
        <f>IFERROR(IF(J55="","",VLOOKUP(J55,Lists!$K$2:$O$61,3,FALSE)),"")</f>
        <v/>
      </c>
      <c r="N55" s="10"/>
      <c r="O55" s="10"/>
      <c r="P55" s="6"/>
      <c r="Q55" s="10"/>
      <c r="R55" s="6"/>
    </row>
    <row r="56" spans="1:18" x14ac:dyDescent="0.25">
      <c r="A56" s="8"/>
      <c r="B56" s="9" t="str">
        <f>IF(A56="","","W"&amp;(INT((A56-Lists!$B$2)/7)+1))</f>
        <v/>
      </c>
      <c r="C56" s="10"/>
      <c r="D56" s="10"/>
      <c r="E56" s="9" t="str">
        <f t="shared" si="0"/>
        <v/>
      </c>
      <c r="F56" s="11"/>
      <c r="G56" s="10"/>
      <c r="H56" s="10"/>
      <c r="I56" s="10"/>
      <c r="J56" s="10"/>
      <c r="K56" s="12" t="str">
        <f>IFERROR(IF(J56="","",VLOOKUP(J56,Lists!$K$2:$O$61,5,FALSE)),"")</f>
        <v/>
      </c>
      <c r="L56" s="9" t="str">
        <f>IFERROR(IF(J56="","",VLOOKUP(J56,Lists!$K$2:$O$61,2,FALSE)),"")</f>
        <v/>
      </c>
      <c r="M56" s="9" t="str">
        <f>IFERROR(IF(J56="","",VLOOKUP(J56,Lists!$K$2:$O$61,3,FALSE)),"")</f>
        <v/>
      </c>
      <c r="N56" s="10"/>
      <c r="O56" s="10"/>
      <c r="P56" s="6"/>
      <c r="Q56" s="10"/>
      <c r="R56" s="6"/>
    </row>
    <row r="57" spans="1:18" x14ac:dyDescent="0.25">
      <c r="A57" s="8"/>
      <c r="B57" s="9" t="str">
        <f>IF(A57="","","W"&amp;(INT((A57-Lists!$B$2)/7)+1))</f>
        <v/>
      </c>
      <c r="C57" s="10"/>
      <c r="D57" s="10"/>
      <c r="E57" s="9" t="str">
        <f t="shared" si="0"/>
        <v/>
      </c>
      <c r="F57" s="11"/>
      <c r="G57" s="10"/>
      <c r="H57" s="10"/>
      <c r="I57" s="10"/>
      <c r="J57" s="10"/>
      <c r="K57" s="12" t="str">
        <f>IFERROR(IF(J57="","",VLOOKUP(J57,Lists!$K$2:$O$61,5,FALSE)),"")</f>
        <v/>
      </c>
      <c r="L57" s="9" t="str">
        <f>IFERROR(IF(J57="","",VLOOKUP(J57,Lists!$K$2:$O$61,2,FALSE)),"")</f>
        <v/>
      </c>
      <c r="M57" s="9" t="str">
        <f>IFERROR(IF(J57="","",VLOOKUP(J57,Lists!$K$2:$O$61,3,FALSE)),"")</f>
        <v/>
      </c>
      <c r="N57" s="10"/>
      <c r="O57" s="10"/>
      <c r="P57" s="6"/>
      <c r="Q57" s="10"/>
      <c r="R57" s="6"/>
    </row>
    <row r="58" spans="1:18" x14ac:dyDescent="0.25">
      <c r="A58" s="8"/>
      <c r="B58" s="9" t="str">
        <f>IF(A58="","","W"&amp;(INT((A58-Lists!$B$2)/7)+1))</f>
        <v/>
      </c>
      <c r="C58" s="10"/>
      <c r="D58" s="10"/>
      <c r="E58" s="9" t="str">
        <f t="shared" si="0"/>
        <v/>
      </c>
      <c r="F58" s="11"/>
      <c r="G58" s="10"/>
      <c r="H58" s="10"/>
      <c r="I58" s="10"/>
      <c r="J58" s="10"/>
      <c r="K58" s="12" t="str">
        <f>IFERROR(IF(J58="","",VLOOKUP(J58,Lists!$K$2:$O$61,5,FALSE)),"")</f>
        <v/>
      </c>
      <c r="L58" s="9" t="str">
        <f>IFERROR(IF(J58="","",VLOOKUP(J58,Lists!$K$2:$O$61,2,FALSE)),"")</f>
        <v/>
      </c>
      <c r="M58" s="9" t="str">
        <f>IFERROR(IF(J58="","",VLOOKUP(J58,Lists!$K$2:$O$61,3,FALSE)),"")</f>
        <v/>
      </c>
      <c r="N58" s="10"/>
      <c r="O58" s="10"/>
      <c r="P58" s="6"/>
      <c r="Q58" s="10"/>
      <c r="R58" s="6"/>
    </row>
    <row r="59" spans="1:18" x14ac:dyDescent="0.25">
      <c r="A59" s="8"/>
      <c r="B59" s="9" t="str">
        <f>IF(A59="","","W"&amp;(INT((A59-Lists!$B$2)/7)+1))</f>
        <v/>
      </c>
      <c r="C59" s="10"/>
      <c r="D59" s="10"/>
      <c r="E59" s="9" t="str">
        <f t="shared" si="0"/>
        <v/>
      </c>
      <c r="F59" s="11"/>
      <c r="G59" s="10"/>
      <c r="H59" s="10"/>
      <c r="I59" s="10"/>
      <c r="J59" s="10"/>
      <c r="K59" s="12" t="str">
        <f>IFERROR(IF(J59="","",VLOOKUP(J59,Lists!$K$2:$O$61,5,FALSE)),"")</f>
        <v/>
      </c>
      <c r="L59" s="9" t="str">
        <f>IFERROR(IF(J59="","",VLOOKUP(J59,Lists!$K$2:$O$61,2,FALSE)),"")</f>
        <v/>
      </c>
      <c r="M59" s="9" t="str">
        <f>IFERROR(IF(J59="","",VLOOKUP(J59,Lists!$K$2:$O$61,3,FALSE)),"")</f>
        <v/>
      </c>
      <c r="N59" s="10"/>
      <c r="O59" s="10"/>
      <c r="P59" s="6"/>
      <c r="Q59" s="10"/>
      <c r="R59" s="6"/>
    </row>
    <row r="60" spans="1:18" x14ac:dyDescent="0.25">
      <c r="A60" s="8"/>
      <c r="B60" s="9" t="str">
        <f>IF(A60="","","W"&amp;(INT((A60-Lists!$B$2)/7)+1))</f>
        <v/>
      </c>
      <c r="C60" s="10"/>
      <c r="D60" s="10"/>
      <c r="E60" s="9" t="str">
        <f t="shared" si="0"/>
        <v/>
      </c>
      <c r="F60" s="11"/>
      <c r="G60" s="10"/>
      <c r="H60" s="10"/>
      <c r="I60" s="10"/>
      <c r="J60" s="10"/>
      <c r="K60" s="12" t="str">
        <f>IFERROR(IF(J60="","",VLOOKUP(J60,Lists!$K$2:$O$61,5,FALSE)),"")</f>
        <v/>
      </c>
      <c r="L60" s="9" t="str">
        <f>IFERROR(IF(J60="","",VLOOKUP(J60,Lists!$K$2:$O$61,2,FALSE)),"")</f>
        <v/>
      </c>
      <c r="M60" s="9" t="str">
        <f>IFERROR(IF(J60="","",VLOOKUP(J60,Lists!$K$2:$O$61,3,FALSE)),"")</f>
        <v/>
      </c>
      <c r="N60" s="10"/>
      <c r="O60" s="10"/>
      <c r="P60" s="6"/>
      <c r="Q60" s="10"/>
      <c r="R60" s="6"/>
    </row>
    <row r="61" spans="1:18" x14ac:dyDescent="0.25">
      <c r="A61" s="8"/>
      <c r="B61" s="9" t="str">
        <f>IF(A61="","","W"&amp;(INT((A61-Lists!$B$2)/7)+1))</f>
        <v/>
      </c>
      <c r="C61" s="10"/>
      <c r="D61" s="10"/>
      <c r="E61" s="9" t="str">
        <f t="shared" si="0"/>
        <v/>
      </c>
      <c r="F61" s="11"/>
      <c r="G61" s="10"/>
      <c r="H61" s="10"/>
      <c r="I61" s="10"/>
      <c r="J61" s="10"/>
      <c r="K61" s="12" t="str">
        <f>IFERROR(IF(J61="","",VLOOKUP(J61,Lists!$K$2:$O$61,5,FALSE)),"")</f>
        <v/>
      </c>
      <c r="L61" s="9" t="str">
        <f>IFERROR(IF(J61="","",VLOOKUP(J61,Lists!$K$2:$O$61,2,FALSE)),"")</f>
        <v/>
      </c>
      <c r="M61" s="9" t="str">
        <f>IFERROR(IF(J61="","",VLOOKUP(J61,Lists!$K$2:$O$61,3,FALSE)),"")</f>
        <v/>
      </c>
      <c r="N61" s="10"/>
      <c r="O61" s="10"/>
      <c r="P61" s="6"/>
      <c r="Q61" s="10"/>
      <c r="R61" s="6"/>
    </row>
    <row r="62" spans="1:18" x14ac:dyDescent="0.25">
      <c r="A62" s="8"/>
      <c r="B62" s="9" t="str">
        <f>IF(A62="","","W"&amp;(INT((A62-Lists!$B$2)/7)+1))</f>
        <v/>
      </c>
      <c r="C62" s="10"/>
      <c r="D62" s="10"/>
      <c r="E62" s="9" t="str">
        <f t="shared" si="0"/>
        <v/>
      </c>
      <c r="F62" s="11"/>
      <c r="G62" s="10"/>
      <c r="H62" s="10"/>
      <c r="I62" s="10"/>
      <c r="J62" s="10"/>
      <c r="K62" s="12" t="str">
        <f>IFERROR(IF(J62="","",VLOOKUP(J62,Lists!$K$2:$O$61,5,FALSE)),"")</f>
        <v/>
      </c>
      <c r="L62" s="9" t="str">
        <f>IFERROR(IF(J62="","",VLOOKUP(J62,Lists!$K$2:$O$61,2,FALSE)),"")</f>
        <v/>
      </c>
      <c r="M62" s="9" t="str">
        <f>IFERROR(IF(J62="","",VLOOKUP(J62,Lists!$K$2:$O$61,3,FALSE)),"")</f>
        <v/>
      </c>
      <c r="N62" s="10"/>
      <c r="O62" s="10"/>
      <c r="P62" s="6"/>
      <c r="Q62" s="10"/>
      <c r="R62" s="6"/>
    </row>
    <row r="63" spans="1:18" x14ac:dyDescent="0.25">
      <c r="A63" s="8"/>
      <c r="B63" s="9" t="str">
        <f>IF(A63="","","W"&amp;(INT((A63-Lists!$B$2)/7)+1))</f>
        <v/>
      </c>
      <c r="C63" s="10"/>
      <c r="D63" s="10"/>
      <c r="E63" s="9" t="str">
        <f t="shared" si="0"/>
        <v/>
      </c>
      <c r="F63" s="11"/>
      <c r="G63" s="10"/>
      <c r="H63" s="10"/>
      <c r="I63" s="10"/>
      <c r="J63" s="10"/>
      <c r="K63" s="12" t="str">
        <f>IFERROR(IF(J63="","",VLOOKUP(J63,Lists!$K$2:$O$61,5,FALSE)),"")</f>
        <v/>
      </c>
      <c r="L63" s="9" t="str">
        <f>IFERROR(IF(J63="","",VLOOKUP(J63,Lists!$K$2:$O$61,2,FALSE)),"")</f>
        <v/>
      </c>
      <c r="M63" s="9" t="str">
        <f>IFERROR(IF(J63="","",VLOOKUP(J63,Lists!$K$2:$O$61,3,FALSE)),"")</f>
        <v/>
      </c>
      <c r="N63" s="10"/>
      <c r="O63" s="10"/>
      <c r="P63" s="6"/>
      <c r="Q63" s="10"/>
      <c r="R63" s="6"/>
    </row>
    <row r="64" spans="1:18" x14ac:dyDescent="0.25">
      <c r="A64" s="8"/>
      <c r="B64" s="9" t="str">
        <f>IF(A64="","","W"&amp;(INT((A64-Lists!$B$2)/7)+1))</f>
        <v/>
      </c>
      <c r="C64" s="10"/>
      <c r="D64" s="10"/>
      <c r="E64" s="9" t="str">
        <f t="shared" si="0"/>
        <v/>
      </c>
      <c r="F64" s="11"/>
      <c r="G64" s="10"/>
      <c r="H64" s="10"/>
      <c r="I64" s="10"/>
      <c r="J64" s="10"/>
      <c r="K64" s="12" t="str">
        <f>IFERROR(IF(J64="","",VLOOKUP(J64,Lists!$K$2:$O$61,5,FALSE)),"")</f>
        <v/>
      </c>
      <c r="L64" s="9" t="str">
        <f>IFERROR(IF(J64="","",VLOOKUP(J64,Lists!$K$2:$O$61,2,FALSE)),"")</f>
        <v/>
      </c>
      <c r="M64" s="9" t="str">
        <f>IFERROR(IF(J64="","",VLOOKUP(J64,Lists!$K$2:$O$61,3,FALSE)),"")</f>
        <v/>
      </c>
      <c r="N64" s="10"/>
      <c r="O64" s="10"/>
      <c r="P64" s="6"/>
      <c r="Q64" s="10"/>
      <c r="R64" s="6"/>
    </row>
    <row r="65" spans="1:18" x14ac:dyDescent="0.25">
      <c r="A65" s="8"/>
      <c r="B65" s="9" t="str">
        <f>IF(A65="","","W"&amp;(INT((A65-Lists!$B$2)/7)+1))</f>
        <v/>
      </c>
      <c r="C65" s="10"/>
      <c r="D65" s="10"/>
      <c r="E65" s="9" t="str">
        <f t="shared" si="0"/>
        <v/>
      </c>
      <c r="F65" s="11"/>
      <c r="G65" s="10"/>
      <c r="H65" s="10"/>
      <c r="I65" s="10"/>
      <c r="J65" s="10"/>
      <c r="K65" s="12" t="str">
        <f>IFERROR(IF(J65="","",VLOOKUP(J65,Lists!$K$2:$O$61,5,FALSE)),"")</f>
        <v/>
      </c>
      <c r="L65" s="9" t="str">
        <f>IFERROR(IF(J65="","",VLOOKUP(J65,Lists!$K$2:$O$61,2,FALSE)),"")</f>
        <v/>
      </c>
      <c r="M65" s="9" t="str">
        <f>IFERROR(IF(J65="","",VLOOKUP(J65,Lists!$K$2:$O$61,3,FALSE)),"")</f>
        <v/>
      </c>
      <c r="N65" s="10"/>
      <c r="O65" s="10"/>
      <c r="P65" s="6"/>
      <c r="Q65" s="10"/>
      <c r="R65" s="6"/>
    </row>
    <row r="66" spans="1:18" x14ac:dyDescent="0.25">
      <c r="A66" s="8"/>
      <c r="B66" s="9" t="str">
        <f>IF(A66="","","W"&amp;(INT((A66-Lists!$B$2)/7)+1))</f>
        <v/>
      </c>
      <c r="C66" s="10"/>
      <c r="D66" s="10"/>
      <c r="E66" s="9" t="str">
        <f t="shared" ref="E66:E129" si="1">IF(OR(C66="",D66=""),"",IF(C66=D66,"SELF-REVIEW","OK"))</f>
        <v/>
      </c>
      <c r="F66" s="11"/>
      <c r="G66" s="10"/>
      <c r="H66" s="10"/>
      <c r="I66" s="10"/>
      <c r="J66" s="10"/>
      <c r="K66" s="12" t="str">
        <f>IFERROR(IF(J66="","",VLOOKUP(J66,Lists!$K$2:$O$61,5,FALSE)),"")</f>
        <v/>
      </c>
      <c r="L66" s="9" t="str">
        <f>IFERROR(IF(J66="","",VLOOKUP(J66,Lists!$K$2:$O$61,2,FALSE)),"")</f>
        <v/>
      </c>
      <c r="M66" s="9" t="str">
        <f>IFERROR(IF(J66="","",VLOOKUP(J66,Lists!$K$2:$O$61,3,FALSE)),"")</f>
        <v/>
      </c>
      <c r="N66" s="10"/>
      <c r="O66" s="10"/>
      <c r="P66" s="6"/>
      <c r="Q66" s="10"/>
      <c r="R66" s="6"/>
    </row>
    <row r="67" spans="1:18" x14ac:dyDescent="0.25">
      <c r="A67" s="8"/>
      <c r="B67" s="9" t="str">
        <f>IF(A67="","","W"&amp;(INT((A67-Lists!$B$2)/7)+1))</f>
        <v/>
      </c>
      <c r="C67" s="10"/>
      <c r="D67" s="10"/>
      <c r="E67" s="9" t="str">
        <f t="shared" si="1"/>
        <v/>
      </c>
      <c r="F67" s="11"/>
      <c r="G67" s="10"/>
      <c r="H67" s="10"/>
      <c r="I67" s="10"/>
      <c r="J67" s="10"/>
      <c r="K67" s="12" t="str">
        <f>IFERROR(IF(J67="","",VLOOKUP(J67,Lists!$K$2:$O$61,5,FALSE)),"")</f>
        <v/>
      </c>
      <c r="L67" s="9" t="str">
        <f>IFERROR(IF(J67="","",VLOOKUP(J67,Lists!$K$2:$O$61,2,FALSE)),"")</f>
        <v/>
      </c>
      <c r="M67" s="9" t="str">
        <f>IFERROR(IF(J67="","",VLOOKUP(J67,Lists!$K$2:$O$61,3,FALSE)),"")</f>
        <v/>
      </c>
      <c r="N67" s="10"/>
      <c r="O67" s="10"/>
      <c r="P67" s="6"/>
      <c r="Q67" s="10"/>
      <c r="R67" s="6"/>
    </row>
    <row r="68" spans="1:18" x14ac:dyDescent="0.25">
      <c r="A68" s="8"/>
      <c r="B68" s="9" t="str">
        <f>IF(A68="","","W"&amp;(INT((A68-Lists!$B$2)/7)+1))</f>
        <v/>
      </c>
      <c r="C68" s="10"/>
      <c r="D68" s="10"/>
      <c r="E68" s="9" t="str">
        <f t="shared" si="1"/>
        <v/>
      </c>
      <c r="F68" s="11"/>
      <c r="G68" s="10"/>
      <c r="H68" s="10"/>
      <c r="I68" s="10"/>
      <c r="J68" s="10"/>
      <c r="K68" s="12" t="str">
        <f>IFERROR(IF(J68="","",VLOOKUP(J68,Lists!$K$2:$O$61,5,FALSE)),"")</f>
        <v/>
      </c>
      <c r="L68" s="9" t="str">
        <f>IFERROR(IF(J68="","",VLOOKUP(J68,Lists!$K$2:$O$61,2,FALSE)),"")</f>
        <v/>
      </c>
      <c r="M68" s="9" t="str">
        <f>IFERROR(IF(J68="","",VLOOKUP(J68,Lists!$K$2:$O$61,3,FALSE)),"")</f>
        <v/>
      </c>
      <c r="N68" s="10"/>
      <c r="O68" s="10"/>
      <c r="P68" s="6"/>
      <c r="Q68" s="10"/>
      <c r="R68" s="6"/>
    </row>
    <row r="69" spans="1:18" x14ac:dyDescent="0.25">
      <c r="A69" s="8"/>
      <c r="B69" s="9" t="str">
        <f>IF(A69="","","W"&amp;(INT((A69-Lists!$B$2)/7)+1))</f>
        <v/>
      </c>
      <c r="C69" s="10"/>
      <c r="D69" s="10"/>
      <c r="E69" s="9" t="str">
        <f t="shared" si="1"/>
        <v/>
      </c>
      <c r="F69" s="11"/>
      <c r="G69" s="10"/>
      <c r="H69" s="10"/>
      <c r="I69" s="10"/>
      <c r="J69" s="10"/>
      <c r="K69" s="12" t="str">
        <f>IFERROR(IF(J69="","",VLOOKUP(J69,Lists!$K$2:$O$61,5,FALSE)),"")</f>
        <v/>
      </c>
      <c r="L69" s="9" t="str">
        <f>IFERROR(IF(J69="","",VLOOKUP(J69,Lists!$K$2:$O$61,2,FALSE)),"")</f>
        <v/>
      </c>
      <c r="M69" s="9" t="str">
        <f>IFERROR(IF(J69="","",VLOOKUP(J69,Lists!$K$2:$O$61,3,FALSE)),"")</f>
        <v/>
      </c>
      <c r="N69" s="10"/>
      <c r="O69" s="10"/>
      <c r="P69" s="6"/>
      <c r="Q69" s="10"/>
      <c r="R69" s="6"/>
    </row>
    <row r="70" spans="1:18" x14ac:dyDescent="0.25">
      <c r="A70" s="8"/>
      <c r="B70" s="9" t="str">
        <f>IF(A70="","","W"&amp;(INT((A70-Lists!$B$2)/7)+1))</f>
        <v/>
      </c>
      <c r="C70" s="10"/>
      <c r="D70" s="10"/>
      <c r="E70" s="9" t="str">
        <f t="shared" si="1"/>
        <v/>
      </c>
      <c r="F70" s="11"/>
      <c r="G70" s="10"/>
      <c r="H70" s="10"/>
      <c r="I70" s="10"/>
      <c r="J70" s="10"/>
      <c r="K70" s="12" t="str">
        <f>IFERROR(IF(J70="","",VLOOKUP(J70,Lists!$K$2:$O$61,5,FALSE)),"")</f>
        <v/>
      </c>
      <c r="L70" s="9" t="str">
        <f>IFERROR(IF(J70="","",VLOOKUP(J70,Lists!$K$2:$O$61,2,FALSE)),"")</f>
        <v/>
      </c>
      <c r="M70" s="9" t="str">
        <f>IFERROR(IF(J70="","",VLOOKUP(J70,Lists!$K$2:$O$61,3,FALSE)),"")</f>
        <v/>
      </c>
      <c r="N70" s="10"/>
      <c r="O70" s="10"/>
      <c r="P70" s="6"/>
      <c r="Q70" s="10"/>
      <c r="R70" s="6"/>
    </row>
    <row r="71" spans="1:18" x14ac:dyDescent="0.25">
      <c r="A71" s="8"/>
      <c r="B71" s="9" t="str">
        <f>IF(A71="","","W"&amp;(INT((A71-Lists!$B$2)/7)+1))</f>
        <v/>
      </c>
      <c r="C71" s="10"/>
      <c r="D71" s="10"/>
      <c r="E71" s="9" t="str">
        <f t="shared" si="1"/>
        <v/>
      </c>
      <c r="F71" s="11"/>
      <c r="G71" s="10"/>
      <c r="H71" s="10"/>
      <c r="I71" s="10"/>
      <c r="J71" s="10"/>
      <c r="K71" s="12" t="str">
        <f>IFERROR(IF(J71="","",VLOOKUP(J71,Lists!$K$2:$O$61,5,FALSE)),"")</f>
        <v/>
      </c>
      <c r="L71" s="9" t="str">
        <f>IFERROR(IF(J71="","",VLOOKUP(J71,Lists!$K$2:$O$61,2,FALSE)),"")</f>
        <v/>
      </c>
      <c r="M71" s="9" t="str">
        <f>IFERROR(IF(J71="","",VLOOKUP(J71,Lists!$K$2:$O$61,3,FALSE)),"")</f>
        <v/>
      </c>
      <c r="N71" s="10"/>
      <c r="O71" s="10"/>
      <c r="P71" s="6"/>
      <c r="Q71" s="10"/>
      <c r="R71" s="6"/>
    </row>
    <row r="72" spans="1:18" x14ac:dyDescent="0.25">
      <c r="A72" s="8"/>
      <c r="B72" s="9" t="str">
        <f>IF(A72="","","W"&amp;(INT((A72-Lists!$B$2)/7)+1))</f>
        <v/>
      </c>
      <c r="C72" s="10"/>
      <c r="D72" s="10"/>
      <c r="E72" s="9" t="str">
        <f t="shared" si="1"/>
        <v/>
      </c>
      <c r="F72" s="11"/>
      <c r="G72" s="10"/>
      <c r="H72" s="10"/>
      <c r="I72" s="10"/>
      <c r="J72" s="10"/>
      <c r="K72" s="12" t="str">
        <f>IFERROR(IF(J72="","",VLOOKUP(J72,Lists!$K$2:$O$61,5,FALSE)),"")</f>
        <v/>
      </c>
      <c r="L72" s="9" t="str">
        <f>IFERROR(IF(J72="","",VLOOKUP(J72,Lists!$K$2:$O$61,2,FALSE)),"")</f>
        <v/>
      </c>
      <c r="M72" s="9" t="str">
        <f>IFERROR(IF(J72="","",VLOOKUP(J72,Lists!$K$2:$O$61,3,FALSE)),"")</f>
        <v/>
      </c>
      <c r="N72" s="10"/>
      <c r="O72" s="10"/>
      <c r="P72" s="6"/>
      <c r="Q72" s="10"/>
      <c r="R72" s="6"/>
    </row>
    <row r="73" spans="1:18" x14ac:dyDescent="0.25">
      <c r="A73" s="8"/>
      <c r="B73" s="9" t="str">
        <f>IF(A73="","","W"&amp;(INT((A73-Lists!$B$2)/7)+1))</f>
        <v/>
      </c>
      <c r="C73" s="10"/>
      <c r="D73" s="10"/>
      <c r="E73" s="9" t="str">
        <f t="shared" si="1"/>
        <v/>
      </c>
      <c r="F73" s="11"/>
      <c r="G73" s="10"/>
      <c r="H73" s="10"/>
      <c r="I73" s="10"/>
      <c r="J73" s="10"/>
      <c r="K73" s="12" t="str">
        <f>IFERROR(IF(J73="","",VLOOKUP(J73,Lists!$K$2:$O$61,5,FALSE)),"")</f>
        <v/>
      </c>
      <c r="L73" s="9" t="str">
        <f>IFERROR(IF(J73="","",VLOOKUP(J73,Lists!$K$2:$O$61,2,FALSE)),"")</f>
        <v/>
      </c>
      <c r="M73" s="9" t="str">
        <f>IFERROR(IF(J73="","",VLOOKUP(J73,Lists!$K$2:$O$61,3,FALSE)),"")</f>
        <v/>
      </c>
      <c r="N73" s="10"/>
      <c r="O73" s="10"/>
      <c r="P73" s="6"/>
      <c r="Q73" s="10"/>
      <c r="R73" s="6"/>
    </row>
    <row r="74" spans="1:18" x14ac:dyDescent="0.25">
      <c r="A74" s="8"/>
      <c r="B74" s="9" t="str">
        <f>IF(A74="","","W"&amp;(INT((A74-Lists!$B$2)/7)+1))</f>
        <v/>
      </c>
      <c r="C74" s="10"/>
      <c r="D74" s="10"/>
      <c r="E74" s="9" t="str">
        <f t="shared" si="1"/>
        <v/>
      </c>
      <c r="F74" s="11"/>
      <c r="G74" s="10"/>
      <c r="H74" s="10"/>
      <c r="I74" s="10"/>
      <c r="J74" s="10"/>
      <c r="K74" s="12" t="str">
        <f>IFERROR(IF(J74="","",VLOOKUP(J74,Lists!$K$2:$O$61,5,FALSE)),"")</f>
        <v/>
      </c>
      <c r="L74" s="9" t="str">
        <f>IFERROR(IF(J74="","",VLOOKUP(J74,Lists!$K$2:$O$61,2,FALSE)),"")</f>
        <v/>
      </c>
      <c r="M74" s="9" t="str">
        <f>IFERROR(IF(J74="","",VLOOKUP(J74,Lists!$K$2:$O$61,3,FALSE)),"")</f>
        <v/>
      </c>
      <c r="N74" s="10"/>
      <c r="O74" s="10"/>
      <c r="P74" s="6"/>
      <c r="Q74" s="10"/>
      <c r="R74" s="6"/>
    </row>
    <row r="75" spans="1:18" x14ac:dyDescent="0.25">
      <c r="A75" s="8"/>
      <c r="B75" s="9" t="str">
        <f>IF(A75="","","W"&amp;(INT((A75-Lists!$B$2)/7)+1))</f>
        <v/>
      </c>
      <c r="C75" s="10"/>
      <c r="D75" s="10"/>
      <c r="E75" s="9" t="str">
        <f t="shared" si="1"/>
        <v/>
      </c>
      <c r="F75" s="11"/>
      <c r="G75" s="10"/>
      <c r="H75" s="10"/>
      <c r="I75" s="10"/>
      <c r="J75" s="10"/>
      <c r="K75" s="12" t="str">
        <f>IFERROR(IF(J75="","",VLOOKUP(J75,Lists!$K$2:$O$61,5,FALSE)),"")</f>
        <v/>
      </c>
      <c r="L75" s="9" t="str">
        <f>IFERROR(IF(J75="","",VLOOKUP(J75,Lists!$K$2:$O$61,2,FALSE)),"")</f>
        <v/>
      </c>
      <c r="M75" s="9" t="str">
        <f>IFERROR(IF(J75="","",VLOOKUP(J75,Lists!$K$2:$O$61,3,FALSE)),"")</f>
        <v/>
      </c>
      <c r="N75" s="10"/>
      <c r="O75" s="10"/>
      <c r="P75" s="6"/>
      <c r="Q75" s="10"/>
      <c r="R75" s="6"/>
    </row>
    <row r="76" spans="1:18" x14ac:dyDescent="0.25">
      <c r="A76" s="8"/>
      <c r="B76" s="9" t="str">
        <f>IF(A76="","","W"&amp;(INT((A76-Lists!$B$2)/7)+1))</f>
        <v/>
      </c>
      <c r="C76" s="10"/>
      <c r="D76" s="10"/>
      <c r="E76" s="9" t="str">
        <f t="shared" si="1"/>
        <v/>
      </c>
      <c r="F76" s="11"/>
      <c r="G76" s="10"/>
      <c r="H76" s="10"/>
      <c r="I76" s="10"/>
      <c r="J76" s="10"/>
      <c r="K76" s="12" t="str">
        <f>IFERROR(IF(J76="","",VLOOKUP(J76,Lists!$K$2:$O$61,5,FALSE)),"")</f>
        <v/>
      </c>
      <c r="L76" s="9" t="str">
        <f>IFERROR(IF(J76="","",VLOOKUP(J76,Lists!$K$2:$O$61,2,FALSE)),"")</f>
        <v/>
      </c>
      <c r="M76" s="9" t="str">
        <f>IFERROR(IF(J76="","",VLOOKUP(J76,Lists!$K$2:$O$61,3,FALSE)),"")</f>
        <v/>
      </c>
      <c r="N76" s="10"/>
      <c r="O76" s="10"/>
      <c r="P76" s="6"/>
      <c r="Q76" s="10"/>
      <c r="R76" s="6"/>
    </row>
    <row r="77" spans="1:18" x14ac:dyDescent="0.25">
      <c r="A77" s="8"/>
      <c r="B77" s="9" t="str">
        <f>IF(A77="","","W"&amp;(INT((A77-Lists!$B$2)/7)+1))</f>
        <v/>
      </c>
      <c r="C77" s="10"/>
      <c r="D77" s="10"/>
      <c r="E77" s="9" t="str">
        <f t="shared" si="1"/>
        <v/>
      </c>
      <c r="F77" s="11"/>
      <c r="G77" s="10"/>
      <c r="H77" s="10"/>
      <c r="I77" s="10"/>
      <c r="J77" s="10"/>
      <c r="K77" s="12" t="str">
        <f>IFERROR(IF(J77="","",VLOOKUP(J77,Lists!$K$2:$O$61,5,FALSE)),"")</f>
        <v/>
      </c>
      <c r="L77" s="9" t="str">
        <f>IFERROR(IF(J77="","",VLOOKUP(J77,Lists!$K$2:$O$61,2,FALSE)),"")</f>
        <v/>
      </c>
      <c r="M77" s="9" t="str">
        <f>IFERROR(IF(J77="","",VLOOKUP(J77,Lists!$K$2:$O$61,3,FALSE)),"")</f>
        <v/>
      </c>
      <c r="N77" s="10"/>
      <c r="O77" s="10"/>
      <c r="P77" s="6"/>
      <c r="Q77" s="10"/>
      <c r="R77" s="6"/>
    </row>
    <row r="78" spans="1:18" x14ac:dyDescent="0.25">
      <c r="A78" s="8"/>
      <c r="B78" s="9" t="str">
        <f>IF(A78="","","W"&amp;(INT((A78-Lists!$B$2)/7)+1))</f>
        <v/>
      </c>
      <c r="C78" s="10"/>
      <c r="D78" s="10"/>
      <c r="E78" s="9" t="str">
        <f t="shared" si="1"/>
        <v/>
      </c>
      <c r="F78" s="11"/>
      <c r="G78" s="10"/>
      <c r="H78" s="10"/>
      <c r="I78" s="10"/>
      <c r="J78" s="10"/>
      <c r="K78" s="12" t="str">
        <f>IFERROR(IF(J78="","",VLOOKUP(J78,Lists!$K$2:$O$61,5,FALSE)),"")</f>
        <v/>
      </c>
      <c r="L78" s="9" t="str">
        <f>IFERROR(IF(J78="","",VLOOKUP(J78,Lists!$K$2:$O$61,2,FALSE)),"")</f>
        <v/>
      </c>
      <c r="M78" s="9" t="str">
        <f>IFERROR(IF(J78="","",VLOOKUP(J78,Lists!$K$2:$O$61,3,FALSE)),"")</f>
        <v/>
      </c>
      <c r="N78" s="10"/>
      <c r="O78" s="10"/>
      <c r="P78" s="6"/>
      <c r="Q78" s="10"/>
      <c r="R78" s="6"/>
    </row>
    <row r="79" spans="1:18" x14ac:dyDescent="0.25">
      <c r="A79" s="8"/>
      <c r="B79" s="9" t="str">
        <f>IF(A79="","","W"&amp;(INT((A79-Lists!$B$2)/7)+1))</f>
        <v/>
      </c>
      <c r="C79" s="10"/>
      <c r="D79" s="10"/>
      <c r="E79" s="9" t="str">
        <f t="shared" si="1"/>
        <v/>
      </c>
      <c r="F79" s="11"/>
      <c r="G79" s="10"/>
      <c r="H79" s="10"/>
      <c r="I79" s="10"/>
      <c r="J79" s="10"/>
      <c r="K79" s="12" t="str">
        <f>IFERROR(IF(J79="","",VLOOKUP(J79,Lists!$K$2:$O$61,5,FALSE)),"")</f>
        <v/>
      </c>
      <c r="L79" s="9" t="str">
        <f>IFERROR(IF(J79="","",VLOOKUP(J79,Lists!$K$2:$O$61,2,FALSE)),"")</f>
        <v/>
      </c>
      <c r="M79" s="9" t="str">
        <f>IFERROR(IF(J79="","",VLOOKUP(J79,Lists!$K$2:$O$61,3,FALSE)),"")</f>
        <v/>
      </c>
      <c r="N79" s="10"/>
      <c r="O79" s="10"/>
      <c r="P79" s="6"/>
      <c r="Q79" s="10"/>
      <c r="R79" s="6"/>
    </row>
    <row r="80" spans="1:18" x14ac:dyDescent="0.25">
      <c r="A80" s="8"/>
      <c r="B80" s="9" t="str">
        <f>IF(A80="","","W"&amp;(INT((A80-Lists!$B$2)/7)+1))</f>
        <v/>
      </c>
      <c r="C80" s="10"/>
      <c r="D80" s="10"/>
      <c r="E80" s="9" t="str">
        <f t="shared" si="1"/>
        <v/>
      </c>
      <c r="F80" s="11"/>
      <c r="G80" s="10"/>
      <c r="H80" s="10"/>
      <c r="I80" s="10"/>
      <c r="J80" s="10"/>
      <c r="K80" s="12" t="str">
        <f>IFERROR(IF(J80="","",VLOOKUP(J80,Lists!$K$2:$O$61,5,FALSE)),"")</f>
        <v/>
      </c>
      <c r="L80" s="9" t="str">
        <f>IFERROR(IF(J80="","",VLOOKUP(J80,Lists!$K$2:$O$61,2,FALSE)),"")</f>
        <v/>
      </c>
      <c r="M80" s="9" t="str">
        <f>IFERROR(IF(J80="","",VLOOKUP(J80,Lists!$K$2:$O$61,3,FALSE)),"")</f>
        <v/>
      </c>
      <c r="N80" s="10"/>
      <c r="O80" s="10"/>
      <c r="P80" s="6"/>
      <c r="Q80" s="10"/>
      <c r="R80" s="6"/>
    </row>
    <row r="81" spans="1:18" x14ac:dyDescent="0.25">
      <c r="A81" s="8"/>
      <c r="B81" s="9" t="str">
        <f>IF(A81="","","W"&amp;(INT((A81-Lists!$B$2)/7)+1))</f>
        <v/>
      </c>
      <c r="C81" s="10"/>
      <c r="D81" s="10"/>
      <c r="E81" s="9" t="str">
        <f t="shared" si="1"/>
        <v/>
      </c>
      <c r="F81" s="11"/>
      <c r="G81" s="10"/>
      <c r="H81" s="10"/>
      <c r="I81" s="10"/>
      <c r="J81" s="10"/>
      <c r="K81" s="12" t="str">
        <f>IFERROR(IF(J81="","",VLOOKUP(J81,Lists!$K$2:$O$61,5,FALSE)),"")</f>
        <v/>
      </c>
      <c r="L81" s="9" t="str">
        <f>IFERROR(IF(J81="","",VLOOKUP(J81,Lists!$K$2:$O$61,2,FALSE)),"")</f>
        <v/>
      </c>
      <c r="M81" s="9" t="str">
        <f>IFERROR(IF(J81="","",VLOOKUP(J81,Lists!$K$2:$O$61,3,FALSE)),"")</f>
        <v/>
      </c>
      <c r="N81" s="10"/>
      <c r="O81" s="10"/>
      <c r="P81" s="6"/>
      <c r="Q81" s="10"/>
      <c r="R81" s="6"/>
    </row>
    <row r="82" spans="1:18" x14ac:dyDescent="0.25">
      <c r="A82" s="8"/>
      <c r="B82" s="9" t="str">
        <f>IF(A82="","","W"&amp;(INT((A82-Lists!$B$2)/7)+1))</f>
        <v/>
      </c>
      <c r="C82" s="10"/>
      <c r="D82" s="10"/>
      <c r="E82" s="9" t="str">
        <f t="shared" si="1"/>
        <v/>
      </c>
      <c r="F82" s="11"/>
      <c r="G82" s="10"/>
      <c r="H82" s="10"/>
      <c r="I82" s="10"/>
      <c r="J82" s="10"/>
      <c r="K82" s="12" t="str">
        <f>IFERROR(IF(J82="","",VLOOKUP(J82,Lists!$K$2:$O$61,5,FALSE)),"")</f>
        <v/>
      </c>
      <c r="L82" s="9" t="str">
        <f>IFERROR(IF(J82="","",VLOOKUP(J82,Lists!$K$2:$O$61,2,FALSE)),"")</f>
        <v/>
      </c>
      <c r="M82" s="9" t="str">
        <f>IFERROR(IF(J82="","",VLOOKUP(J82,Lists!$K$2:$O$61,3,FALSE)),"")</f>
        <v/>
      </c>
      <c r="N82" s="10"/>
      <c r="O82" s="10"/>
      <c r="P82" s="6"/>
      <c r="Q82" s="10"/>
      <c r="R82" s="6"/>
    </row>
    <row r="83" spans="1:18" x14ac:dyDescent="0.25">
      <c r="A83" s="8"/>
      <c r="B83" s="9" t="str">
        <f>IF(A83="","","W"&amp;(INT((A83-Lists!$B$2)/7)+1))</f>
        <v/>
      </c>
      <c r="C83" s="10"/>
      <c r="D83" s="10"/>
      <c r="E83" s="9" t="str">
        <f t="shared" si="1"/>
        <v/>
      </c>
      <c r="F83" s="11"/>
      <c r="G83" s="10"/>
      <c r="H83" s="10"/>
      <c r="I83" s="10"/>
      <c r="J83" s="10"/>
      <c r="K83" s="12" t="str">
        <f>IFERROR(IF(J83="","",VLOOKUP(J83,Lists!$K$2:$O$61,5,FALSE)),"")</f>
        <v/>
      </c>
      <c r="L83" s="9" t="str">
        <f>IFERROR(IF(J83="","",VLOOKUP(J83,Lists!$K$2:$O$61,2,FALSE)),"")</f>
        <v/>
      </c>
      <c r="M83" s="9" t="str">
        <f>IFERROR(IF(J83="","",VLOOKUP(J83,Lists!$K$2:$O$61,3,FALSE)),"")</f>
        <v/>
      </c>
      <c r="N83" s="10"/>
      <c r="O83" s="10"/>
      <c r="P83" s="6"/>
      <c r="Q83" s="10"/>
      <c r="R83" s="6"/>
    </row>
    <row r="84" spans="1:18" x14ac:dyDescent="0.25">
      <c r="A84" s="8"/>
      <c r="B84" s="9" t="str">
        <f>IF(A84="","","W"&amp;(INT((A84-Lists!$B$2)/7)+1))</f>
        <v/>
      </c>
      <c r="C84" s="10"/>
      <c r="D84" s="10"/>
      <c r="E84" s="9" t="str">
        <f t="shared" si="1"/>
        <v/>
      </c>
      <c r="F84" s="11"/>
      <c r="G84" s="10"/>
      <c r="H84" s="10"/>
      <c r="I84" s="10"/>
      <c r="J84" s="10"/>
      <c r="K84" s="12" t="str">
        <f>IFERROR(IF(J84="","",VLOOKUP(J84,Lists!$K$2:$O$61,5,FALSE)),"")</f>
        <v/>
      </c>
      <c r="L84" s="9" t="str">
        <f>IFERROR(IF(J84="","",VLOOKUP(J84,Lists!$K$2:$O$61,2,FALSE)),"")</f>
        <v/>
      </c>
      <c r="M84" s="9" t="str">
        <f>IFERROR(IF(J84="","",VLOOKUP(J84,Lists!$K$2:$O$61,3,FALSE)),"")</f>
        <v/>
      </c>
      <c r="N84" s="10"/>
      <c r="O84" s="10"/>
      <c r="P84" s="6"/>
      <c r="Q84" s="10"/>
      <c r="R84" s="6"/>
    </row>
    <row r="85" spans="1:18" x14ac:dyDescent="0.25">
      <c r="A85" s="8"/>
      <c r="B85" s="9" t="str">
        <f>IF(A85="","","W"&amp;(INT((A85-Lists!$B$2)/7)+1))</f>
        <v/>
      </c>
      <c r="C85" s="10"/>
      <c r="D85" s="10"/>
      <c r="E85" s="9" t="str">
        <f t="shared" si="1"/>
        <v/>
      </c>
      <c r="F85" s="11"/>
      <c r="G85" s="10"/>
      <c r="H85" s="10"/>
      <c r="I85" s="10"/>
      <c r="J85" s="10"/>
      <c r="K85" s="12" t="str">
        <f>IFERROR(IF(J85="","",VLOOKUP(J85,Lists!$K$2:$O$61,5,FALSE)),"")</f>
        <v/>
      </c>
      <c r="L85" s="9" t="str">
        <f>IFERROR(IF(J85="","",VLOOKUP(J85,Lists!$K$2:$O$61,2,FALSE)),"")</f>
        <v/>
      </c>
      <c r="M85" s="9" t="str">
        <f>IFERROR(IF(J85="","",VLOOKUP(J85,Lists!$K$2:$O$61,3,FALSE)),"")</f>
        <v/>
      </c>
      <c r="N85" s="10"/>
      <c r="O85" s="10"/>
      <c r="P85" s="6"/>
      <c r="Q85" s="10"/>
      <c r="R85" s="6"/>
    </row>
    <row r="86" spans="1:18" x14ac:dyDescent="0.25">
      <c r="A86" s="8"/>
      <c r="B86" s="9" t="str">
        <f>IF(A86="","","W"&amp;(INT((A86-Lists!$B$2)/7)+1))</f>
        <v/>
      </c>
      <c r="C86" s="10"/>
      <c r="D86" s="10"/>
      <c r="E86" s="9" t="str">
        <f t="shared" si="1"/>
        <v/>
      </c>
      <c r="F86" s="11"/>
      <c r="G86" s="10"/>
      <c r="H86" s="10"/>
      <c r="I86" s="10"/>
      <c r="J86" s="10"/>
      <c r="K86" s="12" t="str">
        <f>IFERROR(IF(J86="","",VLOOKUP(J86,Lists!$K$2:$O$61,5,FALSE)),"")</f>
        <v/>
      </c>
      <c r="L86" s="9" t="str">
        <f>IFERROR(IF(J86="","",VLOOKUP(J86,Lists!$K$2:$O$61,2,FALSE)),"")</f>
        <v/>
      </c>
      <c r="M86" s="9" t="str">
        <f>IFERROR(IF(J86="","",VLOOKUP(J86,Lists!$K$2:$O$61,3,FALSE)),"")</f>
        <v/>
      </c>
      <c r="N86" s="10"/>
      <c r="O86" s="10"/>
      <c r="P86" s="6"/>
      <c r="Q86" s="10"/>
      <c r="R86" s="6"/>
    </row>
    <row r="87" spans="1:18" x14ac:dyDescent="0.25">
      <c r="A87" s="8"/>
      <c r="B87" s="9" t="str">
        <f>IF(A87="","","W"&amp;(INT((A87-Lists!$B$2)/7)+1))</f>
        <v/>
      </c>
      <c r="C87" s="10"/>
      <c r="D87" s="10"/>
      <c r="E87" s="9" t="str">
        <f t="shared" si="1"/>
        <v/>
      </c>
      <c r="F87" s="11"/>
      <c r="G87" s="10"/>
      <c r="H87" s="10"/>
      <c r="I87" s="10"/>
      <c r="J87" s="10"/>
      <c r="K87" s="12" t="str">
        <f>IFERROR(IF(J87="","",VLOOKUP(J87,Lists!$K$2:$O$61,5,FALSE)),"")</f>
        <v/>
      </c>
      <c r="L87" s="9" t="str">
        <f>IFERROR(IF(J87="","",VLOOKUP(J87,Lists!$K$2:$O$61,2,FALSE)),"")</f>
        <v/>
      </c>
      <c r="M87" s="9" t="str">
        <f>IFERROR(IF(J87="","",VLOOKUP(J87,Lists!$K$2:$O$61,3,FALSE)),"")</f>
        <v/>
      </c>
      <c r="N87" s="10"/>
      <c r="O87" s="10"/>
      <c r="P87" s="6"/>
      <c r="Q87" s="10"/>
      <c r="R87" s="6"/>
    </row>
    <row r="88" spans="1:18" x14ac:dyDescent="0.25">
      <c r="A88" s="8"/>
      <c r="B88" s="9" t="str">
        <f>IF(A88="","","W"&amp;(INT((A88-Lists!$B$2)/7)+1))</f>
        <v/>
      </c>
      <c r="C88" s="10"/>
      <c r="D88" s="10"/>
      <c r="E88" s="9" t="str">
        <f t="shared" si="1"/>
        <v/>
      </c>
      <c r="F88" s="11"/>
      <c r="G88" s="10"/>
      <c r="H88" s="10"/>
      <c r="I88" s="10"/>
      <c r="J88" s="10"/>
      <c r="K88" s="12" t="str">
        <f>IFERROR(IF(J88="","",VLOOKUP(J88,Lists!$K$2:$O$61,5,FALSE)),"")</f>
        <v/>
      </c>
      <c r="L88" s="9" t="str">
        <f>IFERROR(IF(J88="","",VLOOKUP(J88,Lists!$K$2:$O$61,2,FALSE)),"")</f>
        <v/>
      </c>
      <c r="M88" s="9" t="str">
        <f>IFERROR(IF(J88="","",VLOOKUP(J88,Lists!$K$2:$O$61,3,FALSE)),"")</f>
        <v/>
      </c>
      <c r="N88" s="10"/>
      <c r="O88" s="10"/>
      <c r="P88" s="6"/>
      <c r="Q88" s="10"/>
      <c r="R88" s="6"/>
    </row>
    <row r="89" spans="1:18" x14ac:dyDescent="0.25">
      <c r="A89" s="8"/>
      <c r="B89" s="9" t="str">
        <f>IF(A89="","","W"&amp;(INT((A89-Lists!$B$2)/7)+1))</f>
        <v/>
      </c>
      <c r="C89" s="10"/>
      <c r="D89" s="10"/>
      <c r="E89" s="9" t="str">
        <f t="shared" si="1"/>
        <v/>
      </c>
      <c r="F89" s="11"/>
      <c r="G89" s="10"/>
      <c r="H89" s="10"/>
      <c r="I89" s="10"/>
      <c r="J89" s="10"/>
      <c r="K89" s="12" t="str">
        <f>IFERROR(IF(J89="","",VLOOKUP(J89,Lists!$K$2:$O$61,5,FALSE)),"")</f>
        <v/>
      </c>
      <c r="L89" s="9" t="str">
        <f>IFERROR(IF(J89="","",VLOOKUP(J89,Lists!$K$2:$O$61,2,FALSE)),"")</f>
        <v/>
      </c>
      <c r="M89" s="9" t="str">
        <f>IFERROR(IF(J89="","",VLOOKUP(J89,Lists!$K$2:$O$61,3,FALSE)),"")</f>
        <v/>
      </c>
      <c r="N89" s="10"/>
      <c r="O89" s="10"/>
      <c r="P89" s="6"/>
      <c r="Q89" s="10"/>
      <c r="R89" s="6"/>
    </row>
    <row r="90" spans="1:18" x14ac:dyDescent="0.25">
      <c r="A90" s="8"/>
      <c r="B90" s="9" t="str">
        <f>IF(A90="","","W"&amp;(INT((A90-Lists!$B$2)/7)+1))</f>
        <v/>
      </c>
      <c r="C90" s="10"/>
      <c r="D90" s="10"/>
      <c r="E90" s="9" t="str">
        <f t="shared" si="1"/>
        <v/>
      </c>
      <c r="F90" s="11"/>
      <c r="G90" s="10"/>
      <c r="H90" s="10"/>
      <c r="I90" s="10"/>
      <c r="J90" s="10"/>
      <c r="K90" s="12" t="str">
        <f>IFERROR(IF(J90="","",VLOOKUP(J90,Lists!$K$2:$O$61,5,FALSE)),"")</f>
        <v/>
      </c>
      <c r="L90" s="9" t="str">
        <f>IFERROR(IF(J90="","",VLOOKUP(J90,Lists!$K$2:$O$61,2,FALSE)),"")</f>
        <v/>
      </c>
      <c r="M90" s="9" t="str">
        <f>IFERROR(IF(J90="","",VLOOKUP(J90,Lists!$K$2:$O$61,3,FALSE)),"")</f>
        <v/>
      </c>
      <c r="N90" s="10"/>
      <c r="O90" s="10"/>
      <c r="P90" s="6"/>
      <c r="Q90" s="10"/>
      <c r="R90" s="6"/>
    </row>
    <row r="91" spans="1:18" x14ac:dyDescent="0.25">
      <c r="A91" s="8"/>
      <c r="B91" s="9" t="str">
        <f>IF(A91="","","W"&amp;(INT((A91-Lists!$B$2)/7)+1))</f>
        <v/>
      </c>
      <c r="C91" s="10"/>
      <c r="D91" s="10"/>
      <c r="E91" s="9" t="str">
        <f t="shared" si="1"/>
        <v/>
      </c>
      <c r="F91" s="11"/>
      <c r="G91" s="10"/>
      <c r="H91" s="10"/>
      <c r="I91" s="10"/>
      <c r="J91" s="10"/>
      <c r="K91" s="12" t="str">
        <f>IFERROR(IF(J91="","",VLOOKUP(J91,Lists!$K$2:$O$61,5,FALSE)),"")</f>
        <v/>
      </c>
      <c r="L91" s="9" t="str">
        <f>IFERROR(IF(J91="","",VLOOKUP(J91,Lists!$K$2:$O$61,2,FALSE)),"")</f>
        <v/>
      </c>
      <c r="M91" s="9" t="str">
        <f>IFERROR(IF(J91="","",VLOOKUP(J91,Lists!$K$2:$O$61,3,FALSE)),"")</f>
        <v/>
      </c>
      <c r="N91" s="10"/>
      <c r="O91" s="10"/>
      <c r="P91" s="6"/>
      <c r="Q91" s="10"/>
      <c r="R91" s="6"/>
    </row>
    <row r="92" spans="1:18" x14ac:dyDescent="0.25">
      <c r="A92" s="8"/>
      <c r="B92" s="9" t="str">
        <f>IF(A92="","","W"&amp;(INT((A92-Lists!$B$2)/7)+1))</f>
        <v/>
      </c>
      <c r="C92" s="10"/>
      <c r="D92" s="10"/>
      <c r="E92" s="9" t="str">
        <f t="shared" si="1"/>
        <v/>
      </c>
      <c r="F92" s="11"/>
      <c r="G92" s="10"/>
      <c r="H92" s="10"/>
      <c r="I92" s="10"/>
      <c r="J92" s="10"/>
      <c r="K92" s="12" t="str">
        <f>IFERROR(IF(J92="","",VLOOKUP(J92,Lists!$K$2:$O$61,5,FALSE)),"")</f>
        <v/>
      </c>
      <c r="L92" s="9" t="str">
        <f>IFERROR(IF(J92="","",VLOOKUP(J92,Lists!$K$2:$O$61,2,FALSE)),"")</f>
        <v/>
      </c>
      <c r="M92" s="9" t="str">
        <f>IFERROR(IF(J92="","",VLOOKUP(J92,Lists!$K$2:$O$61,3,FALSE)),"")</f>
        <v/>
      </c>
      <c r="N92" s="10"/>
      <c r="O92" s="10"/>
      <c r="P92" s="6"/>
      <c r="Q92" s="10"/>
      <c r="R92" s="6"/>
    </row>
    <row r="93" spans="1:18" x14ac:dyDescent="0.25">
      <c r="A93" s="8"/>
      <c r="B93" s="9" t="str">
        <f>IF(A93="","","W"&amp;(INT((A93-Lists!$B$2)/7)+1))</f>
        <v/>
      </c>
      <c r="C93" s="10"/>
      <c r="D93" s="10"/>
      <c r="E93" s="9" t="str">
        <f t="shared" si="1"/>
        <v/>
      </c>
      <c r="F93" s="11"/>
      <c r="G93" s="10"/>
      <c r="H93" s="10"/>
      <c r="I93" s="10"/>
      <c r="J93" s="10"/>
      <c r="K93" s="12" t="str">
        <f>IFERROR(IF(J93="","",VLOOKUP(J93,Lists!$K$2:$O$61,5,FALSE)),"")</f>
        <v/>
      </c>
      <c r="L93" s="9" t="str">
        <f>IFERROR(IF(J93="","",VLOOKUP(J93,Lists!$K$2:$O$61,2,FALSE)),"")</f>
        <v/>
      </c>
      <c r="M93" s="9" t="str">
        <f>IFERROR(IF(J93="","",VLOOKUP(J93,Lists!$K$2:$O$61,3,FALSE)),"")</f>
        <v/>
      </c>
      <c r="N93" s="10"/>
      <c r="O93" s="10"/>
      <c r="P93" s="6"/>
      <c r="Q93" s="10"/>
      <c r="R93" s="6"/>
    </row>
    <row r="94" spans="1:18" x14ac:dyDescent="0.25">
      <c r="A94" s="8"/>
      <c r="B94" s="9" t="str">
        <f>IF(A94="","","W"&amp;(INT((A94-Lists!$B$2)/7)+1))</f>
        <v/>
      </c>
      <c r="C94" s="10"/>
      <c r="D94" s="10"/>
      <c r="E94" s="9" t="str">
        <f t="shared" si="1"/>
        <v/>
      </c>
      <c r="F94" s="11"/>
      <c r="G94" s="10"/>
      <c r="H94" s="10"/>
      <c r="I94" s="10"/>
      <c r="J94" s="10"/>
      <c r="K94" s="12" t="str">
        <f>IFERROR(IF(J94="","",VLOOKUP(J94,Lists!$K$2:$O$61,5,FALSE)),"")</f>
        <v/>
      </c>
      <c r="L94" s="9" t="str">
        <f>IFERROR(IF(J94="","",VLOOKUP(J94,Lists!$K$2:$O$61,2,FALSE)),"")</f>
        <v/>
      </c>
      <c r="M94" s="9" t="str">
        <f>IFERROR(IF(J94="","",VLOOKUP(J94,Lists!$K$2:$O$61,3,FALSE)),"")</f>
        <v/>
      </c>
      <c r="N94" s="10"/>
      <c r="O94" s="10"/>
      <c r="P94" s="6"/>
      <c r="Q94" s="10"/>
      <c r="R94" s="6"/>
    </row>
    <row r="95" spans="1:18" x14ac:dyDescent="0.25">
      <c r="A95" s="8"/>
      <c r="B95" s="9" t="str">
        <f>IF(A95="","","W"&amp;(INT((A95-Lists!$B$2)/7)+1))</f>
        <v/>
      </c>
      <c r="C95" s="10"/>
      <c r="D95" s="10"/>
      <c r="E95" s="9" t="str">
        <f t="shared" si="1"/>
        <v/>
      </c>
      <c r="F95" s="11"/>
      <c r="G95" s="10"/>
      <c r="H95" s="10"/>
      <c r="I95" s="10"/>
      <c r="J95" s="10"/>
      <c r="K95" s="12" t="str">
        <f>IFERROR(IF(J95="","",VLOOKUP(J95,Lists!$K$2:$O$61,5,FALSE)),"")</f>
        <v/>
      </c>
      <c r="L95" s="9" t="str">
        <f>IFERROR(IF(J95="","",VLOOKUP(J95,Lists!$K$2:$O$61,2,FALSE)),"")</f>
        <v/>
      </c>
      <c r="M95" s="9" t="str">
        <f>IFERROR(IF(J95="","",VLOOKUP(J95,Lists!$K$2:$O$61,3,FALSE)),"")</f>
        <v/>
      </c>
      <c r="N95" s="10"/>
      <c r="O95" s="10"/>
      <c r="P95" s="6"/>
      <c r="Q95" s="10"/>
      <c r="R95" s="6"/>
    </row>
    <row r="96" spans="1:18" x14ac:dyDescent="0.25">
      <c r="A96" s="8"/>
      <c r="B96" s="9" t="str">
        <f>IF(A96="","","W"&amp;(INT((A96-Lists!$B$2)/7)+1))</f>
        <v/>
      </c>
      <c r="C96" s="10"/>
      <c r="D96" s="10"/>
      <c r="E96" s="9" t="str">
        <f t="shared" si="1"/>
        <v/>
      </c>
      <c r="F96" s="11"/>
      <c r="G96" s="10"/>
      <c r="H96" s="10"/>
      <c r="I96" s="10"/>
      <c r="J96" s="10"/>
      <c r="K96" s="12" t="str">
        <f>IFERROR(IF(J96="","",VLOOKUP(J96,Lists!$K$2:$O$61,5,FALSE)),"")</f>
        <v/>
      </c>
      <c r="L96" s="9" t="str">
        <f>IFERROR(IF(J96="","",VLOOKUP(J96,Lists!$K$2:$O$61,2,FALSE)),"")</f>
        <v/>
      </c>
      <c r="M96" s="9" t="str">
        <f>IFERROR(IF(J96="","",VLOOKUP(J96,Lists!$K$2:$O$61,3,FALSE)),"")</f>
        <v/>
      </c>
      <c r="N96" s="10"/>
      <c r="O96" s="10"/>
      <c r="P96" s="6"/>
      <c r="Q96" s="10"/>
      <c r="R96" s="6"/>
    </row>
    <row r="97" spans="1:18" x14ac:dyDescent="0.25">
      <c r="A97" s="8"/>
      <c r="B97" s="9" t="str">
        <f>IF(A97="","","W"&amp;(INT((A97-Lists!$B$2)/7)+1))</f>
        <v/>
      </c>
      <c r="C97" s="10"/>
      <c r="D97" s="10"/>
      <c r="E97" s="9" t="str">
        <f t="shared" si="1"/>
        <v/>
      </c>
      <c r="F97" s="11"/>
      <c r="G97" s="10"/>
      <c r="H97" s="10"/>
      <c r="I97" s="10"/>
      <c r="J97" s="10"/>
      <c r="K97" s="12" t="str">
        <f>IFERROR(IF(J97="","",VLOOKUP(J97,Lists!$K$2:$O$61,5,FALSE)),"")</f>
        <v/>
      </c>
      <c r="L97" s="9" t="str">
        <f>IFERROR(IF(J97="","",VLOOKUP(J97,Lists!$K$2:$O$61,2,FALSE)),"")</f>
        <v/>
      </c>
      <c r="M97" s="9" t="str">
        <f>IFERROR(IF(J97="","",VLOOKUP(J97,Lists!$K$2:$O$61,3,FALSE)),"")</f>
        <v/>
      </c>
      <c r="N97" s="10"/>
      <c r="O97" s="10"/>
      <c r="P97" s="6"/>
      <c r="Q97" s="10"/>
      <c r="R97" s="6"/>
    </row>
    <row r="98" spans="1:18" x14ac:dyDescent="0.25">
      <c r="A98" s="8"/>
      <c r="B98" s="9" t="str">
        <f>IF(A98="","","W"&amp;(INT((A98-Lists!$B$2)/7)+1))</f>
        <v/>
      </c>
      <c r="C98" s="10"/>
      <c r="D98" s="10"/>
      <c r="E98" s="9" t="str">
        <f t="shared" si="1"/>
        <v/>
      </c>
      <c r="F98" s="11"/>
      <c r="G98" s="10"/>
      <c r="H98" s="10"/>
      <c r="I98" s="10"/>
      <c r="J98" s="10"/>
      <c r="K98" s="12" t="str">
        <f>IFERROR(IF(J98="","",VLOOKUP(J98,Lists!$K$2:$O$61,5,FALSE)),"")</f>
        <v/>
      </c>
      <c r="L98" s="9" t="str">
        <f>IFERROR(IF(J98="","",VLOOKUP(J98,Lists!$K$2:$O$61,2,FALSE)),"")</f>
        <v/>
      </c>
      <c r="M98" s="9" t="str">
        <f>IFERROR(IF(J98="","",VLOOKUP(J98,Lists!$K$2:$O$61,3,FALSE)),"")</f>
        <v/>
      </c>
      <c r="N98" s="10"/>
      <c r="O98" s="10"/>
      <c r="P98" s="6"/>
      <c r="Q98" s="10"/>
      <c r="R98" s="6"/>
    </row>
    <row r="99" spans="1:18" x14ac:dyDescent="0.25">
      <c r="A99" s="8"/>
      <c r="B99" s="9" t="str">
        <f>IF(A99="","","W"&amp;(INT((A99-Lists!$B$2)/7)+1))</f>
        <v/>
      </c>
      <c r="C99" s="10"/>
      <c r="D99" s="10"/>
      <c r="E99" s="9" t="str">
        <f t="shared" si="1"/>
        <v/>
      </c>
      <c r="F99" s="11"/>
      <c r="G99" s="10"/>
      <c r="H99" s="10"/>
      <c r="I99" s="10"/>
      <c r="J99" s="10"/>
      <c r="K99" s="12" t="str">
        <f>IFERROR(IF(J99="","",VLOOKUP(J99,Lists!$K$2:$O$61,5,FALSE)),"")</f>
        <v/>
      </c>
      <c r="L99" s="9" t="str">
        <f>IFERROR(IF(J99="","",VLOOKUP(J99,Lists!$K$2:$O$61,2,FALSE)),"")</f>
        <v/>
      </c>
      <c r="M99" s="9" t="str">
        <f>IFERROR(IF(J99="","",VLOOKUP(J99,Lists!$K$2:$O$61,3,FALSE)),"")</f>
        <v/>
      </c>
      <c r="N99" s="10"/>
      <c r="O99" s="10"/>
      <c r="P99" s="6"/>
      <c r="Q99" s="10"/>
      <c r="R99" s="6"/>
    </row>
    <row r="100" spans="1:18" x14ac:dyDescent="0.25">
      <c r="A100" s="8"/>
      <c r="B100" s="9" t="str">
        <f>IF(A100="","","W"&amp;(INT((A100-Lists!$B$2)/7)+1))</f>
        <v/>
      </c>
      <c r="C100" s="10"/>
      <c r="D100" s="10"/>
      <c r="E100" s="9" t="str">
        <f t="shared" si="1"/>
        <v/>
      </c>
      <c r="F100" s="11"/>
      <c r="G100" s="10"/>
      <c r="H100" s="10"/>
      <c r="I100" s="10"/>
      <c r="J100" s="10"/>
      <c r="K100" s="12" t="str">
        <f>IFERROR(IF(J100="","",VLOOKUP(J100,Lists!$K$2:$O$61,5,FALSE)),"")</f>
        <v/>
      </c>
      <c r="L100" s="9" t="str">
        <f>IFERROR(IF(J100="","",VLOOKUP(J100,Lists!$K$2:$O$61,2,FALSE)),"")</f>
        <v/>
      </c>
      <c r="M100" s="9" t="str">
        <f>IFERROR(IF(J100="","",VLOOKUP(J100,Lists!$K$2:$O$61,3,FALSE)),"")</f>
        <v/>
      </c>
      <c r="N100" s="10"/>
      <c r="O100" s="10"/>
      <c r="P100" s="6"/>
      <c r="Q100" s="10"/>
      <c r="R100" s="6"/>
    </row>
    <row r="101" spans="1:18" x14ac:dyDescent="0.25">
      <c r="A101" s="8"/>
      <c r="B101" s="9" t="str">
        <f>IF(A101="","","W"&amp;(INT((A101-Lists!$B$2)/7)+1))</f>
        <v/>
      </c>
      <c r="C101" s="10"/>
      <c r="D101" s="10"/>
      <c r="E101" s="9" t="str">
        <f t="shared" si="1"/>
        <v/>
      </c>
      <c r="F101" s="11"/>
      <c r="G101" s="10"/>
      <c r="H101" s="10"/>
      <c r="I101" s="10"/>
      <c r="J101" s="10"/>
      <c r="K101" s="12" t="str">
        <f>IFERROR(IF(J101="","",VLOOKUP(J101,Lists!$K$2:$O$61,5,FALSE)),"")</f>
        <v/>
      </c>
      <c r="L101" s="9" t="str">
        <f>IFERROR(IF(J101="","",VLOOKUP(J101,Lists!$K$2:$O$61,2,FALSE)),"")</f>
        <v/>
      </c>
      <c r="M101" s="9" t="str">
        <f>IFERROR(IF(J101="","",VLOOKUP(J101,Lists!$K$2:$O$61,3,FALSE)),"")</f>
        <v/>
      </c>
      <c r="N101" s="10"/>
      <c r="O101" s="10"/>
      <c r="P101" s="6"/>
      <c r="Q101" s="10"/>
      <c r="R101" s="6"/>
    </row>
    <row r="102" spans="1:18" x14ac:dyDescent="0.25">
      <c r="A102" s="8"/>
      <c r="B102" s="9" t="str">
        <f>IF(A102="","","W"&amp;(INT((A102-Lists!$B$2)/7)+1))</f>
        <v/>
      </c>
      <c r="C102" s="10"/>
      <c r="D102" s="10"/>
      <c r="E102" s="9" t="str">
        <f t="shared" si="1"/>
        <v/>
      </c>
      <c r="F102" s="11"/>
      <c r="G102" s="10"/>
      <c r="H102" s="10"/>
      <c r="I102" s="10"/>
      <c r="J102" s="10"/>
      <c r="K102" s="12" t="str">
        <f>IFERROR(IF(J102="","",VLOOKUP(J102,Lists!$K$2:$O$61,5,FALSE)),"")</f>
        <v/>
      </c>
      <c r="L102" s="9" t="str">
        <f>IFERROR(IF(J102="","",VLOOKUP(J102,Lists!$K$2:$O$61,2,FALSE)),"")</f>
        <v/>
      </c>
      <c r="M102" s="9" t="str">
        <f>IFERROR(IF(J102="","",VLOOKUP(J102,Lists!$K$2:$O$61,3,FALSE)),"")</f>
        <v/>
      </c>
      <c r="N102" s="10"/>
      <c r="O102" s="10"/>
      <c r="P102" s="6"/>
      <c r="Q102" s="10"/>
      <c r="R102" s="6"/>
    </row>
    <row r="103" spans="1:18" x14ac:dyDescent="0.25">
      <c r="A103" s="8"/>
      <c r="B103" s="9" t="str">
        <f>IF(A103="","","W"&amp;(INT((A103-Lists!$B$2)/7)+1))</f>
        <v/>
      </c>
      <c r="C103" s="10"/>
      <c r="D103" s="10"/>
      <c r="E103" s="9" t="str">
        <f t="shared" si="1"/>
        <v/>
      </c>
      <c r="F103" s="11"/>
      <c r="G103" s="10"/>
      <c r="H103" s="10"/>
      <c r="I103" s="10"/>
      <c r="J103" s="10"/>
      <c r="K103" s="12" t="str">
        <f>IFERROR(IF(J103="","",VLOOKUP(J103,Lists!$K$2:$O$61,5,FALSE)),"")</f>
        <v/>
      </c>
      <c r="L103" s="9" t="str">
        <f>IFERROR(IF(J103="","",VLOOKUP(J103,Lists!$K$2:$O$61,2,FALSE)),"")</f>
        <v/>
      </c>
      <c r="M103" s="9" t="str">
        <f>IFERROR(IF(J103="","",VLOOKUP(J103,Lists!$K$2:$O$61,3,FALSE)),"")</f>
        <v/>
      </c>
      <c r="N103" s="10"/>
      <c r="O103" s="10"/>
      <c r="P103" s="6"/>
      <c r="Q103" s="10"/>
      <c r="R103" s="6"/>
    </row>
    <row r="104" spans="1:18" x14ac:dyDescent="0.25">
      <c r="A104" s="8"/>
      <c r="B104" s="9" t="str">
        <f>IF(A104="","","W"&amp;(INT((A104-Lists!$B$2)/7)+1))</f>
        <v/>
      </c>
      <c r="C104" s="10"/>
      <c r="D104" s="10"/>
      <c r="E104" s="9" t="str">
        <f t="shared" si="1"/>
        <v/>
      </c>
      <c r="F104" s="11"/>
      <c r="G104" s="10"/>
      <c r="H104" s="10"/>
      <c r="I104" s="10"/>
      <c r="J104" s="10"/>
      <c r="K104" s="12" t="str">
        <f>IFERROR(IF(J104="","",VLOOKUP(J104,Lists!$K$2:$O$61,5,FALSE)),"")</f>
        <v/>
      </c>
      <c r="L104" s="9" t="str">
        <f>IFERROR(IF(J104="","",VLOOKUP(J104,Lists!$K$2:$O$61,2,FALSE)),"")</f>
        <v/>
      </c>
      <c r="M104" s="9" t="str">
        <f>IFERROR(IF(J104="","",VLOOKUP(J104,Lists!$K$2:$O$61,3,FALSE)),"")</f>
        <v/>
      </c>
      <c r="N104" s="10"/>
      <c r="O104" s="10"/>
      <c r="P104" s="6"/>
      <c r="Q104" s="10"/>
      <c r="R104" s="6"/>
    </row>
    <row r="105" spans="1:18" x14ac:dyDescent="0.25">
      <c r="A105" s="8"/>
      <c r="B105" s="9" t="str">
        <f>IF(A105="","","W"&amp;(INT((A105-Lists!$B$2)/7)+1))</f>
        <v/>
      </c>
      <c r="C105" s="10"/>
      <c r="D105" s="10"/>
      <c r="E105" s="9" t="str">
        <f t="shared" si="1"/>
        <v/>
      </c>
      <c r="F105" s="11"/>
      <c r="G105" s="10"/>
      <c r="H105" s="10"/>
      <c r="I105" s="10"/>
      <c r="J105" s="10"/>
      <c r="K105" s="12" t="str">
        <f>IFERROR(IF(J105="","",VLOOKUP(J105,Lists!$K$2:$O$61,5,FALSE)),"")</f>
        <v/>
      </c>
      <c r="L105" s="9" t="str">
        <f>IFERROR(IF(J105="","",VLOOKUP(J105,Lists!$K$2:$O$61,2,FALSE)),"")</f>
        <v/>
      </c>
      <c r="M105" s="9" t="str">
        <f>IFERROR(IF(J105="","",VLOOKUP(J105,Lists!$K$2:$O$61,3,FALSE)),"")</f>
        <v/>
      </c>
      <c r="N105" s="10"/>
      <c r="O105" s="10"/>
      <c r="P105" s="6"/>
      <c r="Q105" s="10"/>
      <c r="R105" s="6"/>
    </row>
    <row r="106" spans="1:18" x14ac:dyDescent="0.25">
      <c r="A106" s="8"/>
      <c r="B106" s="9" t="str">
        <f>IF(A106="","","W"&amp;(INT((A106-Lists!$B$2)/7)+1))</f>
        <v/>
      </c>
      <c r="C106" s="10"/>
      <c r="D106" s="10"/>
      <c r="E106" s="9" t="str">
        <f t="shared" si="1"/>
        <v/>
      </c>
      <c r="F106" s="11"/>
      <c r="G106" s="10"/>
      <c r="H106" s="10"/>
      <c r="I106" s="10"/>
      <c r="J106" s="10"/>
      <c r="K106" s="12" t="str">
        <f>IFERROR(IF(J106="","",VLOOKUP(J106,Lists!$K$2:$O$61,5,FALSE)),"")</f>
        <v/>
      </c>
      <c r="L106" s="9" t="str">
        <f>IFERROR(IF(J106="","",VLOOKUP(J106,Lists!$K$2:$O$61,2,FALSE)),"")</f>
        <v/>
      </c>
      <c r="M106" s="9" t="str">
        <f>IFERROR(IF(J106="","",VLOOKUP(J106,Lists!$K$2:$O$61,3,FALSE)),"")</f>
        <v/>
      </c>
      <c r="N106" s="10"/>
      <c r="O106" s="10"/>
      <c r="P106" s="6"/>
      <c r="Q106" s="10"/>
      <c r="R106" s="6"/>
    </row>
    <row r="107" spans="1:18" x14ac:dyDescent="0.25">
      <c r="A107" s="8"/>
      <c r="B107" s="9" t="str">
        <f>IF(A107="","","W"&amp;(INT((A107-Lists!$B$2)/7)+1))</f>
        <v/>
      </c>
      <c r="C107" s="10"/>
      <c r="D107" s="10"/>
      <c r="E107" s="9" t="str">
        <f t="shared" si="1"/>
        <v/>
      </c>
      <c r="F107" s="11"/>
      <c r="G107" s="10"/>
      <c r="H107" s="10"/>
      <c r="I107" s="10"/>
      <c r="J107" s="10"/>
      <c r="K107" s="12" t="str">
        <f>IFERROR(IF(J107="","",VLOOKUP(J107,Lists!$K$2:$O$61,5,FALSE)),"")</f>
        <v/>
      </c>
      <c r="L107" s="9" t="str">
        <f>IFERROR(IF(J107="","",VLOOKUP(J107,Lists!$K$2:$O$61,2,FALSE)),"")</f>
        <v/>
      </c>
      <c r="M107" s="9" t="str">
        <f>IFERROR(IF(J107="","",VLOOKUP(J107,Lists!$K$2:$O$61,3,FALSE)),"")</f>
        <v/>
      </c>
      <c r="N107" s="10"/>
      <c r="O107" s="10"/>
      <c r="P107" s="6"/>
      <c r="Q107" s="10"/>
      <c r="R107" s="6"/>
    </row>
    <row r="108" spans="1:18" x14ac:dyDescent="0.25">
      <c r="A108" s="8"/>
      <c r="B108" s="9" t="str">
        <f>IF(A108="","","W"&amp;(INT((A108-Lists!$B$2)/7)+1))</f>
        <v/>
      </c>
      <c r="C108" s="10"/>
      <c r="D108" s="10"/>
      <c r="E108" s="9" t="str">
        <f t="shared" si="1"/>
        <v/>
      </c>
      <c r="F108" s="11"/>
      <c r="G108" s="10"/>
      <c r="H108" s="10"/>
      <c r="I108" s="10"/>
      <c r="J108" s="10"/>
      <c r="K108" s="12" t="str">
        <f>IFERROR(IF(J108="","",VLOOKUP(J108,Lists!$K$2:$O$61,5,FALSE)),"")</f>
        <v/>
      </c>
      <c r="L108" s="9" t="str">
        <f>IFERROR(IF(J108="","",VLOOKUP(J108,Lists!$K$2:$O$61,2,FALSE)),"")</f>
        <v/>
      </c>
      <c r="M108" s="9" t="str">
        <f>IFERROR(IF(J108="","",VLOOKUP(J108,Lists!$K$2:$O$61,3,FALSE)),"")</f>
        <v/>
      </c>
      <c r="N108" s="10"/>
      <c r="O108" s="10"/>
      <c r="P108" s="6"/>
      <c r="Q108" s="10"/>
      <c r="R108" s="6"/>
    </row>
    <row r="109" spans="1:18" x14ac:dyDescent="0.25">
      <c r="A109" s="8"/>
      <c r="B109" s="9" t="str">
        <f>IF(A109="","","W"&amp;(INT((A109-Lists!$B$2)/7)+1))</f>
        <v/>
      </c>
      <c r="C109" s="10"/>
      <c r="D109" s="10"/>
      <c r="E109" s="9" t="str">
        <f t="shared" si="1"/>
        <v/>
      </c>
      <c r="F109" s="11"/>
      <c r="G109" s="10"/>
      <c r="H109" s="10"/>
      <c r="I109" s="10"/>
      <c r="J109" s="10"/>
      <c r="K109" s="12" t="str">
        <f>IFERROR(IF(J109="","",VLOOKUP(J109,Lists!$K$2:$O$61,5,FALSE)),"")</f>
        <v/>
      </c>
      <c r="L109" s="9" t="str">
        <f>IFERROR(IF(J109="","",VLOOKUP(J109,Lists!$K$2:$O$61,2,FALSE)),"")</f>
        <v/>
      </c>
      <c r="M109" s="9" t="str">
        <f>IFERROR(IF(J109="","",VLOOKUP(J109,Lists!$K$2:$O$61,3,FALSE)),"")</f>
        <v/>
      </c>
      <c r="N109" s="10"/>
      <c r="O109" s="10"/>
      <c r="P109" s="6"/>
      <c r="Q109" s="10"/>
      <c r="R109" s="6"/>
    </row>
    <row r="110" spans="1:18" x14ac:dyDescent="0.25">
      <c r="A110" s="8"/>
      <c r="B110" s="9" t="str">
        <f>IF(A110="","","W"&amp;(INT((A110-Lists!$B$2)/7)+1))</f>
        <v/>
      </c>
      <c r="C110" s="10"/>
      <c r="D110" s="10"/>
      <c r="E110" s="9" t="str">
        <f t="shared" si="1"/>
        <v/>
      </c>
      <c r="F110" s="11"/>
      <c r="G110" s="10"/>
      <c r="H110" s="10"/>
      <c r="I110" s="10"/>
      <c r="J110" s="10"/>
      <c r="K110" s="12" t="str">
        <f>IFERROR(IF(J110="","",VLOOKUP(J110,Lists!$K$2:$O$61,5,FALSE)),"")</f>
        <v/>
      </c>
      <c r="L110" s="9" t="str">
        <f>IFERROR(IF(J110="","",VLOOKUP(J110,Lists!$K$2:$O$61,2,FALSE)),"")</f>
        <v/>
      </c>
      <c r="M110" s="9" t="str">
        <f>IFERROR(IF(J110="","",VLOOKUP(J110,Lists!$K$2:$O$61,3,FALSE)),"")</f>
        <v/>
      </c>
      <c r="N110" s="10"/>
      <c r="O110" s="10"/>
      <c r="P110" s="6"/>
      <c r="Q110" s="10"/>
      <c r="R110" s="6"/>
    </row>
    <row r="111" spans="1:18" x14ac:dyDescent="0.25">
      <c r="A111" s="8"/>
      <c r="B111" s="9" t="str">
        <f>IF(A111="","","W"&amp;(INT((A111-Lists!$B$2)/7)+1))</f>
        <v/>
      </c>
      <c r="C111" s="10"/>
      <c r="D111" s="10"/>
      <c r="E111" s="9" t="str">
        <f t="shared" si="1"/>
        <v/>
      </c>
      <c r="F111" s="11"/>
      <c r="G111" s="10"/>
      <c r="H111" s="10"/>
      <c r="I111" s="10"/>
      <c r="J111" s="10"/>
      <c r="K111" s="12" t="str">
        <f>IFERROR(IF(J111="","",VLOOKUP(J111,Lists!$K$2:$O$61,5,FALSE)),"")</f>
        <v/>
      </c>
      <c r="L111" s="9" t="str">
        <f>IFERROR(IF(J111="","",VLOOKUP(J111,Lists!$K$2:$O$61,2,FALSE)),"")</f>
        <v/>
      </c>
      <c r="M111" s="9" t="str">
        <f>IFERROR(IF(J111="","",VLOOKUP(J111,Lists!$K$2:$O$61,3,FALSE)),"")</f>
        <v/>
      </c>
      <c r="N111" s="10"/>
      <c r="O111" s="10"/>
      <c r="P111" s="6"/>
      <c r="Q111" s="10"/>
      <c r="R111" s="6"/>
    </row>
    <row r="112" spans="1:18" x14ac:dyDescent="0.25">
      <c r="A112" s="8"/>
      <c r="B112" s="9" t="str">
        <f>IF(A112="","","W"&amp;(INT((A112-Lists!$B$2)/7)+1))</f>
        <v/>
      </c>
      <c r="C112" s="10"/>
      <c r="D112" s="10"/>
      <c r="E112" s="9" t="str">
        <f t="shared" si="1"/>
        <v/>
      </c>
      <c r="F112" s="11"/>
      <c r="G112" s="10"/>
      <c r="H112" s="10"/>
      <c r="I112" s="10"/>
      <c r="J112" s="10"/>
      <c r="K112" s="12" t="str">
        <f>IFERROR(IF(J112="","",VLOOKUP(J112,Lists!$K$2:$O$61,5,FALSE)),"")</f>
        <v/>
      </c>
      <c r="L112" s="9" t="str">
        <f>IFERROR(IF(J112="","",VLOOKUP(J112,Lists!$K$2:$O$61,2,FALSE)),"")</f>
        <v/>
      </c>
      <c r="M112" s="9" t="str">
        <f>IFERROR(IF(J112="","",VLOOKUP(J112,Lists!$K$2:$O$61,3,FALSE)),"")</f>
        <v/>
      </c>
      <c r="N112" s="10"/>
      <c r="O112" s="10"/>
      <c r="P112" s="6"/>
      <c r="Q112" s="10"/>
      <c r="R112" s="6"/>
    </row>
    <row r="113" spans="1:18" x14ac:dyDescent="0.25">
      <c r="A113" s="8"/>
      <c r="B113" s="9" t="str">
        <f>IF(A113="","","W"&amp;(INT((A113-Lists!$B$2)/7)+1))</f>
        <v/>
      </c>
      <c r="C113" s="10"/>
      <c r="D113" s="10"/>
      <c r="E113" s="9" t="str">
        <f t="shared" si="1"/>
        <v/>
      </c>
      <c r="F113" s="11"/>
      <c r="G113" s="10"/>
      <c r="H113" s="10"/>
      <c r="I113" s="10"/>
      <c r="J113" s="10"/>
      <c r="K113" s="12" t="str">
        <f>IFERROR(IF(J113="","",VLOOKUP(J113,Lists!$K$2:$O$61,5,FALSE)),"")</f>
        <v/>
      </c>
      <c r="L113" s="9" t="str">
        <f>IFERROR(IF(J113="","",VLOOKUP(J113,Lists!$K$2:$O$61,2,FALSE)),"")</f>
        <v/>
      </c>
      <c r="M113" s="9" t="str">
        <f>IFERROR(IF(J113="","",VLOOKUP(J113,Lists!$K$2:$O$61,3,FALSE)),"")</f>
        <v/>
      </c>
      <c r="N113" s="10"/>
      <c r="O113" s="10"/>
      <c r="P113" s="6"/>
      <c r="Q113" s="10"/>
      <c r="R113" s="6"/>
    </row>
    <row r="114" spans="1:18" x14ac:dyDescent="0.25">
      <c r="A114" s="8"/>
      <c r="B114" s="9" t="str">
        <f>IF(A114="","","W"&amp;(INT((A114-Lists!$B$2)/7)+1))</f>
        <v/>
      </c>
      <c r="C114" s="10"/>
      <c r="D114" s="10"/>
      <c r="E114" s="9" t="str">
        <f t="shared" si="1"/>
        <v/>
      </c>
      <c r="F114" s="11"/>
      <c r="G114" s="10"/>
      <c r="H114" s="10"/>
      <c r="I114" s="10"/>
      <c r="J114" s="10"/>
      <c r="K114" s="12" t="str">
        <f>IFERROR(IF(J114="","",VLOOKUP(J114,Lists!$K$2:$O$61,5,FALSE)),"")</f>
        <v/>
      </c>
      <c r="L114" s="9" t="str">
        <f>IFERROR(IF(J114="","",VLOOKUP(J114,Lists!$K$2:$O$61,2,FALSE)),"")</f>
        <v/>
      </c>
      <c r="M114" s="9" t="str">
        <f>IFERROR(IF(J114="","",VLOOKUP(J114,Lists!$K$2:$O$61,3,FALSE)),"")</f>
        <v/>
      </c>
      <c r="N114" s="10"/>
      <c r="O114" s="10"/>
      <c r="P114" s="6"/>
      <c r="Q114" s="10"/>
      <c r="R114" s="6"/>
    </row>
    <row r="115" spans="1:18" x14ac:dyDescent="0.25">
      <c r="A115" s="8"/>
      <c r="B115" s="9" t="str">
        <f>IF(A115="","","W"&amp;(INT((A115-Lists!$B$2)/7)+1))</f>
        <v/>
      </c>
      <c r="C115" s="10"/>
      <c r="D115" s="10"/>
      <c r="E115" s="9" t="str">
        <f t="shared" si="1"/>
        <v/>
      </c>
      <c r="F115" s="11"/>
      <c r="G115" s="10"/>
      <c r="H115" s="10"/>
      <c r="I115" s="10"/>
      <c r="J115" s="10"/>
      <c r="K115" s="12" t="str">
        <f>IFERROR(IF(J115="","",VLOOKUP(J115,Lists!$K$2:$O$61,5,FALSE)),"")</f>
        <v/>
      </c>
      <c r="L115" s="9" t="str">
        <f>IFERROR(IF(J115="","",VLOOKUP(J115,Lists!$K$2:$O$61,2,FALSE)),"")</f>
        <v/>
      </c>
      <c r="M115" s="9" t="str">
        <f>IFERROR(IF(J115="","",VLOOKUP(J115,Lists!$K$2:$O$61,3,FALSE)),"")</f>
        <v/>
      </c>
      <c r="N115" s="10"/>
      <c r="O115" s="10"/>
      <c r="P115" s="6"/>
      <c r="Q115" s="10"/>
      <c r="R115" s="6"/>
    </row>
    <row r="116" spans="1:18" x14ac:dyDescent="0.25">
      <c r="A116" s="8"/>
      <c r="B116" s="9" t="str">
        <f>IF(A116="","","W"&amp;(INT((A116-Lists!$B$2)/7)+1))</f>
        <v/>
      </c>
      <c r="C116" s="10"/>
      <c r="D116" s="10"/>
      <c r="E116" s="9" t="str">
        <f t="shared" si="1"/>
        <v/>
      </c>
      <c r="F116" s="11"/>
      <c r="G116" s="10"/>
      <c r="H116" s="10"/>
      <c r="I116" s="10"/>
      <c r="J116" s="10"/>
      <c r="K116" s="12" t="str">
        <f>IFERROR(IF(J116="","",VLOOKUP(J116,Lists!$K$2:$O$61,5,FALSE)),"")</f>
        <v/>
      </c>
      <c r="L116" s="9" t="str">
        <f>IFERROR(IF(J116="","",VLOOKUP(J116,Lists!$K$2:$O$61,2,FALSE)),"")</f>
        <v/>
      </c>
      <c r="M116" s="9" t="str">
        <f>IFERROR(IF(J116="","",VLOOKUP(J116,Lists!$K$2:$O$61,3,FALSE)),"")</f>
        <v/>
      </c>
      <c r="N116" s="10"/>
      <c r="O116" s="10"/>
      <c r="P116" s="6"/>
      <c r="Q116" s="10"/>
      <c r="R116" s="6"/>
    </row>
    <row r="117" spans="1:18" x14ac:dyDescent="0.25">
      <c r="A117" s="8"/>
      <c r="B117" s="9" t="str">
        <f>IF(A117="","","W"&amp;(INT((A117-Lists!$B$2)/7)+1))</f>
        <v/>
      </c>
      <c r="C117" s="10"/>
      <c r="D117" s="10"/>
      <c r="E117" s="9" t="str">
        <f t="shared" si="1"/>
        <v/>
      </c>
      <c r="F117" s="11"/>
      <c r="G117" s="10"/>
      <c r="H117" s="10"/>
      <c r="I117" s="10"/>
      <c r="J117" s="10"/>
      <c r="K117" s="12" t="str">
        <f>IFERROR(IF(J117="","",VLOOKUP(J117,Lists!$K$2:$O$61,5,FALSE)),"")</f>
        <v/>
      </c>
      <c r="L117" s="9" t="str">
        <f>IFERROR(IF(J117="","",VLOOKUP(J117,Lists!$K$2:$O$61,2,FALSE)),"")</f>
        <v/>
      </c>
      <c r="M117" s="9" t="str">
        <f>IFERROR(IF(J117="","",VLOOKUP(J117,Lists!$K$2:$O$61,3,FALSE)),"")</f>
        <v/>
      </c>
      <c r="N117" s="10"/>
      <c r="O117" s="10"/>
      <c r="P117" s="6"/>
      <c r="Q117" s="10"/>
      <c r="R117" s="6"/>
    </row>
    <row r="118" spans="1:18" x14ac:dyDescent="0.25">
      <c r="A118" s="8"/>
      <c r="B118" s="9" t="str">
        <f>IF(A118="","","W"&amp;(INT((A118-Lists!$B$2)/7)+1))</f>
        <v/>
      </c>
      <c r="C118" s="10"/>
      <c r="D118" s="10"/>
      <c r="E118" s="9" t="str">
        <f t="shared" si="1"/>
        <v/>
      </c>
      <c r="F118" s="11"/>
      <c r="G118" s="10"/>
      <c r="H118" s="10"/>
      <c r="I118" s="10"/>
      <c r="J118" s="10"/>
      <c r="K118" s="12" t="str">
        <f>IFERROR(IF(J118="","",VLOOKUP(J118,Lists!$K$2:$O$61,5,FALSE)),"")</f>
        <v/>
      </c>
      <c r="L118" s="9" t="str">
        <f>IFERROR(IF(J118="","",VLOOKUP(J118,Lists!$K$2:$O$61,2,FALSE)),"")</f>
        <v/>
      </c>
      <c r="M118" s="9" t="str">
        <f>IFERROR(IF(J118="","",VLOOKUP(J118,Lists!$K$2:$O$61,3,FALSE)),"")</f>
        <v/>
      </c>
      <c r="N118" s="10"/>
      <c r="O118" s="10"/>
      <c r="P118" s="6"/>
      <c r="Q118" s="10"/>
      <c r="R118" s="6"/>
    </row>
    <row r="119" spans="1:18" x14ac:dyDescent="0.25">
      <c r="A119" s="8"/>
      <c r="B119" s="9" t="str">
        <f>IF(A119="","","W"&amp;(INT((A119-Lists!$B$2)/7)+1))</f>
        <v/>
      </c>
      <c r="C119" s="10"/>
      <c r="D119" s="10"/>
      <c r="E119" s="9" t="str">
        <f t="shared" si="1"/>
        <v/>
      </c>
      <c r="F119" s="11"/>
      <c r="G119" s="10"/>
      <c r="H119" s="10"/>
      <c r="I119" s="10"/>
      <c r="J119" s="10"/>
      <c r="K119" s="12" t="str">
        <f>IFERROR(IF(J119="","",VLOOKUP(J119,Lists!$K$2:$O$61,5,FALSE)),"")</f>
        <v/>
      </c>
      <c r="L119" s="9" t="str">
        <f>IFERROR(IF(J119="","",VLOOKUP(J119,Lists!$K$2:$O$61,2,FALSE)),"")</f>
        <v/>
      </c>
      <c r="M119" s="9" t="str">
        <f>IFERROR(IF(J119="","",VLOOKUP(J119,Lists!$K$2:$O$61,3,FALSE)),"")</f>
        <v/>
      </c>
      <c r="N119" s="10"/>
      <c r="O119" s="10"/>
      <c r="P119" s="6"/>
      <c r="Q119" s="10"/>
      <c r="R119" s="6"/>
    </row>
    <row r="120" spans="1:18" x14ac:dyDescent="0.25">
      <c r="A120" s="8"/>
      <c r="B120" s="9" t="str">
        <f>IF(A120="","","W"&amp;(INT((A120-Lists!$B$2)/7)+1))</f>
        <v/>
      </c>
      <c r="C120" s="10"/>
      <c r="D120" s="10"/>
      <c r="E120" s="9" t="str">
        <f t="shared" si="1"/>
        <v/>
      </c>
      <c r="F120" s="11"/>
      <c r="G120" s="10"/>
      <c r="H120" s="10"/>
      <c r="I120" s="10"/>
      <c r="J120" s="10"/>
      <c r="K120" s="12" t="str">
        <f>IFERROR(IF(J120="","",VLOOKUP(J120,Lists!$K$2:$O$61,5,FALSE)),"")</f>
        <v/>
      </c>
      <c r="L120" s="9" t="str">
        <f>IFERROR(IF(J120="","",VLOOKUP(J120,Lists!$K$2:$O$61,2,FALSE)),"")</f>
        <v/>
      </c>
      <c r="M120" s="9" t="str">
        <f>IFERROR(IF(J120="","",VLOOKUP(J120,Lists!$K$2:$O$61,3,FALSE)),"")</f>
        <v/>
      </c>
      <c r="N120" s="10"/>
      <c r="O120" s="10"/>
      <c r="P120" s="6"/>
      <c r="Q120" s="10"/>
      <c r="R120" s="6"/>
    </row>
    <row r="121" spans="1:18" x14ac:dyDescent="0.25">
      <c r="A121" s="8"/>
      <c r="B121" s="9" t="str">
        <f>IF(A121="","","W"&amp;(INT((A121-Lists!$B$2)/7)+1))</f>
        <v/>
      </c>
      <c r="C121" s="10"/>
      <c r="D121" s="10"/>
      <c r="E121" s="9" t="str">
        <f t="shared" si="1"/>
        <v/>
      </c>
      <c r="F121" s="11"/>
      <c r="G121" s="10"/>
      <c r="H121" s="10"/>
      <c r="I121" s="10"/>
      <c r="J121" s="10"/>
      <c r="K121" s="12" t="str">
        <f>IFERROR(IF(J121="","",VLOOKUP(J121,Lists!$K$2:$O$61,5,FALSE)),"")</f>
        <v/>
      </c>
      <c r="L121" s="9" t="str">
        <f>IFERROR(IF(J121="","",VLOOKUP(J121,Lists!$K$2:$O$61,2,FALSE)),"")</f>
        <v/>
      </c>
      <c r="M121" s="9" t="str">
        <f>IFERROR(IF(J121="","",VLOOKUP(J121,Lists!$K$2:$O$61,3,FALSE)),"")</f>
        <v/>
      </c>
      <c r="N121" s="10"/>
      <c r="O121" s="10"/>
      <c r="P121" s="6"/>
      <c r="Q121" s="10"/>
      <c r="R121" s="6"/>
    </row>
    <row r="122" spans="1:18" x14ac:dyDescent="0.25">
      <c r="A122" s="8"/>
      <c r="B122" s="9" t="str">
        <f>IF(A122="","","W"&amp;(INT((A122-Lists!$B$2)/7)+1))</f>
        <v/>
      </c>
      <c r="C122" s="10"/>
      <c r="D122" s="10"/>
      <c r="E122" s="9" t="str">
        <f t="shared" si="1"/>
        <v/>
      </c>
      <c r="F122" s="11"/>
      <c r="G122" s="10"/>
      <c r="H122" s="10"/>
      <c r="I122" s="10"/>
      <c r="J122" s="10"/>
      <c r="K122" s="12" t="str">
        <f>IFERROR(IF(J122="","",VLOOKUP(J122,Lists!$K$2:$O$61,5,FALSE)),"")</f>
        <v/>
      </c>
      <c r="L122" s="9" t="str">
        <f>IFERROR(IF(J122="","",VLOOKUP(J122,Lists!$K$2:$O$61,2,FALSE)),"")</f>
        <v/>
      </c>
      <c r="M122" s="9" t="str">
        <f>IFERROR(IF(J122="","",VLOOKUP(J122,Lists!$K$2:$O$61,3,FALSE)),"")</f>
        <v/>
      </c>
      <c r="N122" s="10"/>
      <c r="O122" s="10"/>
      <c r="P122" s="6"/>
      <c r="Q122" s="10"/>
      <c r="R122" s="6"/>
    </row>
    <row r="123" spans="1:18" x14ac:dyDescent="0.25">
      <c r="A123" s="8"/>
      <c r="B123" s="9" t="str">
        <f>IF(A123="","","W"&amp;(INT((A123-Lists!$B$2)/7)+1))</f>
        <v/>
      </c>
      <c r="C123" s="10"/>
      <c r="D123" s="10"/>
      <c r="E123" s="9" t="str">
        <f t="shared" si="1"/>
        <v/>
      </c>
      <c r="F123" s="11"/>
      <c r="G123" s="10"/>
      <c r="H123" s="10"/>
      <c r="I123" s="10"/>
      <c r="J123" s="10"/>
      <c r="K123" s="12" t="str">
        <f>IFERROR(IF(J123="","",VLOOKUP(J123,Lists!$K$2:$O$61,5,FALSE)),"")</f>
        <v/>
      </c>
      <c r="L123" s="9" t="str">
        <f>IFERROR(IF(J123="","",VLOOKUP(J123,Lists!$K$2:$O$61,2,FALSE)),"")</f>
        <v/>
      </c>
      <c r="M123" s="9" t="str">
        <f>IFERROR(IF(J123="","",VLOOKUP(J123,Lists!$K$2:$O$61,3,FALSE)),"")</f>
        <v/>
      </c>
      <c r="N123" s="10"/>
      <c r="O123" s="10"/>
      <c r="P123" s="6"/>
      <c r="Q123" s="10"/>
      <c r="R123" s="6"/>
    </row>
    <row r="124" spans="1:18" x14ac:dyDescent="0.25">
      <c r="A124" s="8"/>
      <c r="B124" s="9" t="str">
        <f>IF(A124="","","W"&amp;(INT((A124-Lists!$B$2)/7)+1))</f>
        <v/>
      </c>
      <c r="C124" s="10"/>
      <c r="D124" s="10"/>
      <c r="E124" s="9" t="str">
        <f t="shared" si="1"/>
        <v/>
      </c>
      <c r="F124" s="11"/>
      <c r="G124" s="10"/>
      <c r="H124" s="10"/>
      <c r="I124" s="10"/>
      <c r="J124" s="10"/>
      <c r="K124" s="12" t="str">
        <f>IFERROR(IF(J124="","",VLOOKUP(J124,Lists!$K$2:$O$61,5,FALSE)),"")</f>
        <v/>
      </c>
      <c r="L124" s="9" t="str">
        <f>IFERROR(IF(J124="","",VLOOKUP(J124,Lists!$K$2:$O$61,2,FALSE)),"")</f>
        <v/>
      </c>
      <c r="M124" s="9" t="str">
        <f>IFERROR(IF(J124="","",VLOOKUP(J124,Lists!$K$2:$O$61,3,FALSE)),"")</f>
        <v/>
      </c>
      <c r="N124" s="10"/>
      <c r="O124" s="10"/>
      <c r="P124" s="6"/>
      <c r="Q124" s="10"/>
      <c r="R124" s="6"/>
    </row>
    <row r="125" spans="1:18" x14ac:dyDescent="0.25">
      <c r="A125" s="8"/>
      <c r="B125" s="9" t="str">
        <f>IF(A125="","","W"&amp;(INT((A125-Lists!$B$2)/7)+1))</f>
        <v/>
      </c>
      <c r="C125" s="10"/>
      <c r="D125" s="10"/>
      <c r="E125" s="9" t="str">
        <f t="shared" si="1"/>
        <v/>
      </c>
      <c r="F125" s="11"/>
      <c r="G125" s="10"/>
      <c r="H125" s="10"/>
      <c r="I125" s="10"/>
      <c r="J125" s="10"/>
      <c r="K125" s="12" t="str">
        <f>IFERROR(IF(J125="","",VLOOKUP(J125,Lists!$K$2:$O$61,5,FALSE)),"")</f>
        <v/>
      </c>
      <c r="L125" s="9" t="str">
        <f>IFERROR(IF(J125="","",VLOOKUP(J125,Lists!$K$2:$O$61,2,FALSE)),"")</f>
        <v/>
      </c>
      <c r="M125" s="9" t="str">
        <f>IFERROR(IF(J125="","",VLOOKUP(J125,Lists!$K$2:$O$61,3,FALSE)),"")</f>
        <v/>
      </c>
      <c r="N125" s="10"/>
      <c r="O125" s="10"/>
      <c r="P125" s="6"/>
      <c r="Q125" s="10"/>
      <c r="R125" s="6"/>
    </row>
    <row r="126" spans="1:18" x14ac:dyDescent="0.25">
      <c r="A126" s="8"/>
      <c r="B126" s="9" t="str">
        <f>IF(A126="","","W"&amp;(INT((A126-Lists!$B$2)/7)+1))</f>
        <v/>
      </c>
      <c r="C126" s="10"/>
      <c r="D126" s="10"/>
      <c r="E126" s="9" t="str">
        <f t="shared" si="1"/>
        <v/>
      </c>
      <c r="F126" s="11"/>
      <c r="G126" s="10"/>
      <c r="H126" s="10"/>
      <c r="I126" s="10"/>
      <c r="J126" s="10"/>
      <c r="K126" s="12" t="str">
        <f>IFERROR(IF(J126="","",VLOOKUP(J126,Lists!$K$2:$O$61,5,FALSE)),"")</f>
        <v/>
      </c>
      <c r="L126" s="9" t="str">
        <f>IFERROR(IF(J126="","",VLOOKUP(J126,Lists!$K$2:$O$61,2,FALSE)),"")</f>
        <v/>
      </c>
      <c r="M126" s="9" t="str">
        <f>IFERROR(IF(J126="","",VLOOKUP(J126,Lists!$K$2:$O$61,3,FALSE)),"")</f>
        <v/>
      </c>
      <c r="N126" s="10"/>
      <c r="O126" s="10"/>
      <c r="P126" s="6"/>
      <c r="Q126" s="10"/>
      <c r="R126" s="6"/>
    </row>
    <row r="127" spans="1:18" x14ac:dyDescent="0.25">
      <c r="A127" s="8"/>
      <c r="B127" s="9" t="str">
        <f>IF(A127="","","W"&amp;(INT((A127-Lists!$B$2)/7)+1))</f>
        <v/>
      </c>
      <c r="C127" s="10"/>
      <c r="D127" s="10"/>
      <c r="E127" s="9" t="str">
        <f t="shared" si="1"/>
        <v/>
      </c>
      <c r="F127" s="11"/>
      <c r="G127" s="10"/>
      <c r="H127" s="10"/>
      <c r="I127" s="10"/>
      <c r="J127" s="10"/>
      <c r="K127" s="12" t="str">
        <f>IFERROR(IF(J127="","",VLOOKUP(J127,Lists!$K$2:$O$61,5,FALSE)),"")</f>
        <v/>
      </c>
      <c r="L127" s="9" t="str">
        <f>IFERROR(IF(J127="","",VLOOKUP(J127,Lists!$K$2:$O$61,2,FALSE)),"")</f>
        <v/>
      </c>
      <c r="M127" s="9" t="str">
        <f>IFERROR(IF(J127="","",VLOOKUP(J127,Lists!$K$2:$O$61,3,FALSE)),"")</f>
        <v/>
      </c>
      <c r="N127" s="10"/>
      <c r="O127" s="10"/>
      <c r="P127" s="6"/>
      <c r="Q127" s="10"/>
      <c r="R127" s="6"/>
    </row>
    <row r="128" spans="1:18" x14ac:dyDescent="0.25">
      <c r="A128" s="8"/>
      <c r="B128" s="9" t="str">
        <f>IF(A128="","","W"&amp;(INT((A128-Lists!$B$2)/7)+1))</f>
        <v/>
      </c>
      <c r="C128" s="10"/>
      <c r="D128" s="10"/>
      <c r="E128" s="9" t="str">
        <f t="shared" si="1"/>
        <v/>
      </c>
      <c r="F128" s="11"/>
      <c r="G128" s="10"/>
      <c r="H128" s="10"/>
      <c r="I128" s="10"/>
      <c r="J128" s="10"/>
      <c r="K128" s="12" t="str">
        <f>IFERROR(IF(J128="","",VLOOKUP(J128,Lists!$K$2:$O$61,5,FALSE)),"")</f>
        <v/>
      </c>
      <c r="L128" s="9" t="str">
        <f>IFERROR(IF(J128="","",VLOOKUP(J128,Lists!$K$2:$O$61,2,FALSE)),"")</f>
        <v/>
      </c>
      <c r="M128" s="9" t="str">
        <f>IFERROR(IF(J128="","",VLOOKUP(J128,Lists!$K$2:$O$61,3,FALSE)),"")</f>
        <v/>
      </c>
      <c r="N128" s="10"/>
      <c r="O128" s="10"/>
      <c r="P128" s="6"/>
      <c r="Q128" s="10"/>
      <c r="R128" s="6"/>
    </row>
    <row r="129" spans="1:18" x14ac:dyDescent="0.25">
      <c r="A129" s="8"/>
      <c r="B129" s="9" t="str">
        <f>IF(A129="","","W"&amp;(INT((A129-Lists!$B$2)/7)+1))</f>
        <v/>
      </c>
      <c r="C129" s="10"/>
      <c r="D129" s="10"/>
      <c r="E129" s="9" t="str">
        <f t="shared" si="1"/>
        <v/>
      </c>
      <c r="F129" s="11"/>
      <c r="G129" s="10"/>
      <c r="H129" s="10"/>
      <c r="I129" s="10"/>
      <c r="J129" s="10"/>
      <c r="K129" s="12" t="str">
        <f>IFERROR(IF(J129="","",VLOOKUP(J129,Lists!$K$2:$O$61,5,FALSE)),"")</f>
        <v/>
      </c>
      <c r="L129" s="9" t="str">
        <f>IFERROR(IF(J129="","",VLOOKUP(J129,Lists!$K$2:$O$61,2,FALSE)),"")</f>
        <v/>
      </c>
      <c r="M129" s="9" t="str">
        <f>IFERROR(IF(J129="","",VLOOKUP(J129,Lists!$K$2:$O$61,3,FALSE)),"")</f>
        <v/>
      </c>
      <c r="N129" s="10"/>
      <c r="O129" s="10"/>
      <c r="P129" s="6"/>
      <c r="Q129" s="10"/>
      <c r="R129" s="6"/>
    </row>
    <row r="130" spans="1:18" x14ac:dyDescent="0.25">
      <c r="A130" s="8"/>
      <c r="B130" s="9" t="str">
        <f>IF(A130="","","W"&amp;(INT((A130-Lists!$B$2)/7)+1))</f>
        <v/>
      </c>
      <c r="C130" s="10"/>
      <c r="D130" s="10"/>
      <c r="E130" s="9" t="str">
        <f t="shared" ref="E130:E193" si="2">IF(OR(C130="",D130=""),"",IF(C130=D130,"SELF-REVIEW","OK"))</f>
        <v/>
      </c>
      <c r="F130" s="11"/>
      <c r="G130" s="10"/>
      <c r="H130" s="10"/>
      <c r="I130" s="10"/>
      <c r="J130" s="10"/>
      <c r="K130" s="12" t="str">
        <f>IFERROR(IF(J130="","",VLOOKUP(J130,Lists!$K$2:$O$61,5,FALSE)),"")</f>
        <v/>
      </c>
      <c r="L130" s="9" t="str">
        <f>IFERROR(IF(J130="","",VLOOKUP(J130,Lists!$K$2:$O$61,2,FALSE)),"")</f>
        <v/>
      </c>
      <c r="M130" s="9" t="str">
        <f>IFERROR(IF(J130="","",VLOOKUP(J130,Lists!$K$2:$O$61,3,FALSE)),"")</f>
        <v/>
      </c>
      <c r="N130" s="10"/>
      <c r="O130" s="10"/>
      <c r="P130" s="6"/>
      <c r="Q130" s="10"/>
      <c r="R130" s="6"/>
    </row>
    <row r="131" spans="1:18" x14ac:dyDescent="0.25">
      <c r="A131" s="8"/>
      <c r="B131" s="9" t="str">
        <f>IF(A131="","","W"&amp;(INT((A131-Lists!$B$2)/7)+1))</f>
        <v/>
      </c>
      <c r="C131" s="10"/>
      <c r="D131" s="10"/>
      <c r="E131" s="9" t="str">
        <f t="shared" si="2"/>
        <v/>
      </c>
      <c r="F131" s="11"/>
      <c r="G131" s="10"/>
      <c r="H131" s="10"/>
      <c r="I131" s="10"/>
      <c r="J131" s="10"/>
      <c r="K131" s="12" t="str">
        <f>IFERROR(IF(J131="","",VLOOKUP(J131,Lists!$K$2:$O$61,5,FALSE)),"")</f>
        <v/>
      </c>
      <c r="L131" s="9" t="str">
        <f>IFERROR(IF(J131="","",VLOOKUP(J131,Lists!$K$2:$O$61,2,FALSE)),"")</f>
        <v/>
      </c>
      <c r="M131" s="9" t="str">
        <f>IFERROR(IF(J131="","",VLOOKUP(J131,Lists!$K$2:$O$61,3,FALSE)),"")</f>
        <v/>
      </c>
      <c r="N131" s="10"/>
      <c r="O131" s="10"/>
      <c r="P131" s="6"/>
      <c r="Q131" s="10"/>
      <c r="R131" s="6"/>
    </row>
    <row r="132" spans="1:18" x14ac:dyDescent="0.25">
      <c r="A132" s="8"/>
      <c r="B132" s="9" t="str">
        <f>IF(A132="","","W"&amp;(INT((A132-Lists!$B$2)/7)+1))</f>
        <v/>
      </c>
      <c r="C132" s="10"/>
      <c r="D132" s="10"/>
      <c r="E132" s="9" t="str">
        <f t="shared" si="2"/>
        <v/>
      </c>
      <c r="F132" s="11"/>
      <c r="G132" s="10"/>
      <c r="H132" s="10"/>
      <c r="I132" s="10"/>
      <c r="J132" s="10"/>
      <c r="K132" s="12" t="str">
        <f>IFERROR(IF(J132="","",VLOOKUP(J132,Lists!$K$2:$O$61,5,FALSE)),"")</f>
        <v/>
      </c>
      <c r="L132" s="9" t="str">
        <f>IFERROR(IF(J132="","",VLOOKUP(J132,Lists!$K$2:$O$61,2,FALSE)),"")</f>
        <v/>
      </c>
      <c r="M132" s="9" t="str">
        <f>IFERROR(IF(J132="","",VLOOKUP(J132,Lists!$K$2:$O$61,3,FALSE)),"")</f>
        <v/>
      </c>
      <c r="N132" s="10"/>
      <c r="O132" s="10"/>
      <c r="P132" s="6"/>
      <c r="Q132" s="10"/>
      <c r="R132" s="6"/>
    </row>
    <row r="133" spans="1:18" x14ac:dyDescent="0.25">
      <c r="A133" s="8"/>
      <c r="B133" s="9" t="str">
        <f>IF(A133="","","W"&amp;(INT((A133-Lists!$B$2)/7)+1))</f>
        <v/>
      </c>
      <c r="C133" s="10"/>
      <c r="D133" s="10"/>
      <c r="E133" s="9" t="str">
        <f t="shared" si="2"/>
        <v/>
      </c>
      <c r="F133" s="11"/>
      <c r="G133" s="10"/>
      <c r="H133" s="10"/>
      <c r="I133" s="10"/>
      <c r="J133" s="10"/>
      <c r="K133" s="12" t="str">
        <f>IFERROR(IF(J133="","",VLOOKUP(J133,Lists!$K$2:$O$61,5,FALSE)),"")</f>
        <v/>
      </c>
      <c r="L133" s="9" t="str">
        <f>IFERROR(IF(J133="","",VLOOKUP(J133,Lists!$K$2:$O$61,2,FALSE)),"")</f>
        <v/>
      </c>
      <c r="M133" s="9" t="str">
        <f>IFERROR(IF(J133="","",VLOOKUP(J133,Lists!$K$2:$O$61,3,FALSE)),"")</f>
        <v/>
      </c>
      <c r="N133" s="10"/>
      <c r="O133" s="10"/>
      <c r="P133" s="6"/>
      <c r="Q133" s="10"/>
      <c r="R133" s="6"/>
    </row>
    <row r="134" spans="1:18" x14ac:dyDescent="0.25">
      <c r="A134" s="8"/>
      <c r="B134" s="9" t="str">
        <f>IF(A134="","","W"&amp;(INT((A134-Lists!$B$2)/7)+1))</f>
        <v/>
      </c>
      <c r="C134" s="10"/>
      <c r="D134" s="10"/>
      <c r="E134" s="9" t="str">
        <f t="shared" si="2"/>
        <v/>
      </c>
      <c r="F134" s="11"/>
      <c r="G134" s="10"/>
      <c r="H134" s="10"/>
      <c r="I134" s="10"/>
      <c r="J134" s="10"/>
      <c r="K134" s="12" t="str">
        <f>IFERROR(IF(J134="","",VLOOKUP(J134,Lists!$K$2:$O$61,5,FALSE)),"")</f>
        <v/>
      </c>
      <c r="L134" s="9" t="str">
        <f>IFERROR(IF(J134="","",VLOOKUP(J134,Lists!$K$2:$O$61,2,FALSE)),"")</f>
        <v/>
      </c>
      <c r="M134" s="9" t="str">
        <f>IFERROR(IF(J134="","",VLOOKUP(J134,Lists!$K$2:$O$61,3,FALSE)),"")</f>
        <v/>
      </c>
      <c r="N134" s="10"/>
      <c r="O134" s="10"/>
      <c r="P134" s="6"/>
      <c r="Q134" s="10"/>
      <c r="R134" s="6"/>
    </row>
    <row r="135" spans="1:18" x14ac:dyDescent="0.25">
      <c r="A135" s="8"/>
      <c r="B135" s="9" t="str">
        <f>IF(A135="","","W"&amp;(INT((A135-Lists!$B$2)/7)+1))</f>
        <v/>
      </c>
      <c r="C135" s="10"/>
      <c r="D135" s="10"/>
      <c r="E135" s="9" t="str">
        <f t="shared" si="2"/>
        <v/>
      </c>
      <c r="F135" s="11"/>
      <c r="G135" s="10"/>
      <c r="H135" s="10"/>
      <c r="I135" s="10"/>
      <c r="J135" s="10"/>
      <c r="K135" s="12" t="str">
        <f>IFERROR(IF(J135="","",VLOOKUP(J135,Lists!$K$2:$O$61,5,FALSE)),"")</f>
        <v/>
      </c>
      <c r="L135" s="9" t="str">
        <f>IFERROR(IF(J135="","",VLOOKUP(J135,Lists!$K$2:$O$61,2,FALSE)),"")</f>
        <v/>
      </c>
      <c r="M135" s="9" t="str">
        <f>IFERROR(IF(J135="","",VLOOKUP(J135,Lists!$K$2:$O$61,3,FALSE)),"")</f>
        <v/>
      </c>
      <c r="N135" s="10"/>
      <c r="O135" s="10"/>
      <c r="P135" s="6"/>
      <c r="Q135" s="10"/>
      <c r="R135" s="6"/>
    </row>
    <row r="136" spans="1:18" x14ac:dyDescent="0.25">
      <c r="A136" s="8"/>
      <c r="B136" s="9" t="str">
        <f>IF(A136="","","W"&amp;(INT((A136-Lists!$B$2)/7)+1))</f>
        <v/>
      </c>
      <c r="C136" s="10"/>
      <c r="D136" s="10"/>
      <c r="E136" s="9" t="str">
        <f t="shared" si="2"/>
        <v/>
      </c>
      <c r="F136" s="11"/>
      <c r="G136" s="10"/>
      <c r="H136" s="10"/>
      <c r="I136" s="10"/>
      <c r="J136" s="10"/>
      <c r="K136" s="12" t="str">
        <f>IFERROR(IF(J136="","",VLOOKUP(J136,Lists!$K$2:$O$61,5,FALSE)),"")</f>
        <v/>
      </c>
      <c r="L136" s="9" t="str">
        <f>IFERROR(IF(J136="","",VLOOKUP(J136,Lists!$K$2:$O$61,2,FALSE)),"")</f>
        <v/>
      </c>
      <c r="M136" s="9" t="str">
        <f>IFERROR(IF(J136="","",VLOOKUP(J136,Lists!$K$2:$O$61,3,FALSE)),"")</f>
        <v/>
      </c>
      <c r="N136" s="10"/>
      <c r="O136" s="10"/>
      <c r="P136" s="6"/>
      <c r="Q136" s="10"/>
      <c r="R136" s="6"/>
    </row>
    <row r="137" spans="1:18" x14ac:dyDescent="0.25">
      <c r="A137" s="8"/>
      <c r="B137" s="9" t="str">
        <f>IF(A137="","","W"&amp;(INT((A137-Lists!$B$2)/7)+1))</f>
        <v/>
      </c>
      <c r="C137" s="10"/>
      <c r="D137" s="10"/>
      <c r="E137" s="9" t="str">
        <f t="shared" si="2"/>
        <v/>
      </c>
      <c r="F137" s="11"/>
      <c r="G137" s="10"/>
      <c r="H137" s="10"/>
      <c r="I137" s="10"/>
      <c r="J137" s="10"/>
      <c r="K137" s="12" t="str">
        <f>IFERROR(IF(J137="","",VLOOKUP(J137,Lists!$K$2:$O$61,5,FALSE)),"")</f>
        <v/>
      </c>
      <c r="L137" s="9" t="str">
        <f>IFERROR(IF(J137="","",VLOOKUP(J137,Lists!$K$2:$O$61,2,FALSE)),"")</f>
        <v/>
      </c>
      <c r="M137" s="9" t="str">
        <f>IFERROR(IF(J137="","",VLOOKUP(J137,Lists!$K$2:$O$61,3,FALSE)),"")</f>
        <v/>
      </c>
      <c r="N137" s="10"/>
      <c r="O137" s="10"/>
      <c r="P137" s="6"/>
      <c r="Q137" s="10"/>
      <c r="R137" s="6"/>
    </row>
    <row r="138" spans="1:18" x14ac:dyDescent="0.25">
      <c r="A138" s="8"/>
      <c r="B138" s="9" t="str">
        <f>IF(A138="","","W"&amp;(INT((A138-Lists!$B$2)/7)+1))</f>
        <v/>
      </c>
      <c r="C138" s="10"/>
      <c r="D138" s="10"/>
      <c r="E138" s="9" t="str">
        <f t="shared" si="2"/>
        <v/>
      </c>
      <c r="F138" s="11"/>
      <c r="G138" s="10"/>
      <c r="H138" s="10"/>
      <c r="I138" s="10"/>
      <c r="J138" s="10"/>
      <c r="K138" s="12" t="str">
        <f>IFERROR(IF(J138="","",VLOOKUP(J138,Lists!$K$2:$O$61,5,FALSE)),"")</f>
        <v/>
      </c>
      <c r="L138" s="9" t="str">
        <f>IFERROR(IF(J138="","",VLOOKUP(J138,Lists!$K$2:$O$61,2,FALSE)),"")</f>
        <v/>
      </c>
      <c r="M138" s="9" t="str">
        <f>IFERROR(IF(J138="","",VLOOKUP(J138,Lists!$K$2:$O$61,3,FALSE)),"")</f>
        <v/>
      </c>
      <c r="N138" s="10"/>
      <c r="O138" s="10"/>
      <c r="P138" s="6"/>
      <c r="Q138" s="10"/>
      <c r="R138" s="6"/>
    </row>
    <row r="139" spans="1:18" x14ac:dyDescent="0.25">
      <c r="A139" s="8"/>
      <c r="B139" s="9" t="str">
        <f>IF(A139="","","W"&amp;(INT((A139-Lists!$B$2)/7)+1))</f>
        <v/>
      </c>
      <c r="C139" s="10"/>
      <c r="D139" s="10"/>
      <c r="E139" s="9" t="str">
        <f t="shared" si="2"/>
        <v/>
      </c>
      <c r="F139" s="11"/>
      <c r="G139" s="10"/>
      <c r="H139" s="10"/>
      <c r="I139" s="10"/>
      <c r="J139" s="10"/>
      <c r="K139" s="12" t="str">
        <f>IFERROR(IF(J139="","",VLOOKUP(J139,Lists!$K$2:$O$61,5,FALSE)),"")</f>
        <v/>
      </c>
      <c r="L139" s="9" t="str">
        <f>IFERROR(IF(J139="","",VLOOKUP(J139,Lists!$K$2:$O$61,2,FALSE)),"")</f>
        <v/>
      </c>
      <c r="M139" s="9" t="str">
        <f>IFERROR(IF(J139="","",VLOOKUP(J139,Lists!$K$2:$O$61,3,FALSE)),"")</f>
        <v/>
      </c>
      <c r="N139" s="10"/>
      <c r="O139" s="10"/>
      <c r="P139" s="6"/>
      <c r="Q139" s="10"/>
      <c r="R139" s="6"/>
    </row>
    <row r="140" spans="1:18" x14ac:dyDescent="0.25">
      <c r="A140" s="8"/>
      <c r="B140" s="9" t="str">
        <f>IF(A140="","","W"&amp;(INT((A140-Lists!$B$2)/7)+1))</f>
        <v/>
      </c>
      <c r="C140" s="10"/>
      <c r="D140" s="10"/>
      <c r="E140" s="9" t="str">
        <f t="shared" si="2"/>
        <v/>
      </c>
      <c r="F140" s="11"/>
      <c r="G140" s="10"/>
      <c r="H140" s="10"/>
      <c r="I140" s="10"/>
      <c r="J140" s="10"/>
      <c r="K140" s="12" t="str">
        <f>IFERROR(IF(J140="","",VLOOKUP(J140,Lists!$K$2:$O$61,5,FALSE)),"")</f>
        <v/>
      </c>
      <c r="L140" s="9" t="str">
        <f>IFERROR(IF(J140="","",VLOOKUP(J140,Lists!$K$2:$O$61,2,FALSE)),"")</f>
        <v/>
      </c>
      <c r="M140" s="9" t="str">
        <f>IFERROR(IF(J140="","",VLOOKUP(J140,Lists!$K$2:$O$61,3,FALSE)),"")</f>
        <v/>
      </c>
      <c r="N140" s="10"/>
      <c r="O140" s="10"/>
      <c r="P140" s="6"/>
      <c r="Q140" s="10"/>
      <c r="R140" s="6"/>
    </row>
    <row r="141" spans="1:18" x14ac:dyDescent="0.25">
      <c r="A141" s="8"/>
      <c r="B141" s="9" t="str">
        <f>IF(A141="","","W"&amp;(INT((A141-Lists!$B$2)/7)+1))</f>
        <v/>
      </c>
      <c r="C141" s="10"/>
      <c r="D141" s="10"/>
      <c r="E141" s="9" t="str">
        <f t="shared" si="2"/>
        <v/>
      </c>
      <c r="F141" s="11"/>
      <c r="G141" s="10"/>
      <c r="H141" s="10"/>
      <c r="I141" s="10"/>
      <c r="J141" s="10"/>
      <c r="K141" s="12" t="str">
        <f>IFERROR(IF(J141="","",VLOOKUP(J141,Lists!$K$2:$O$61,5,FALSE)),"")</f>
        <v/>
      </c>
      <c r="L141" s="9" t="str">
        <f>IFERROR(IF(J141="","",VLOOKUP(J141,Lists!$K$2:$O$61,2,FALSE)),"")</f>
        <v/>
      </c>
      <c r="M141" s="9" t="str">
        <f>IFERROR(IF(J141="","",VLOOKUP(J141,Lists!$K$2:$O$61,3,FALSE)),"")</f>
        <v/>
      </c>
      <c r="N141" s="10"/>
      <c r="O141" s="10"/>
      <c r="P141" s="6"/>
      <c r="Q141" s="10"/>
      <c r="R141" s="6"/>
    </row>
    <row r="142" spans="1:18" x14ac:dyDescent="0.25">
      <c r="A142" s="8"/>
      <c r="B142" s="9" t="str">
        <f>IF(A142="","","W"&amp;(INT((A142-Lists!$B$2)/7)+1))</f>
        <v/>
      </c>
      <c r="C142" s="10"/>
      <c r="D142" s="10"/>
      <c r="E142" s="9" t="str">
        <f t="shared" si="2"/>
        <v/>
      </c>
      <c r="F142" s="11"/>
      <c r="G142" s="10"/>
      <c r="H142" s="10"/>
      <c r="I142" s="10"/>
      <c r="J142" s="10"/>
      <c r="K142" s="12" t="str">
        <f>IFERROR(IF(J142="","",VLOOKUP(J142,Lists!$K$2:$O$61,5,FALSE)),"")</f>
        <v/>
      </c>
      <c r="L142" s="9" t="str">
        <f>IFERROR(IF(J142="","",VLOOKUP(J142,Lists!$K$2:$O$61,2,FALSE)),"")</f>
        <v/>
      </c>
      <c r="M142" s="9" t="str">
        <f>IFERROR(IF(J142="","",VLOOKUP(J142,Lists!$K$2:$O$61,3,FALSE)),"")</f>
        <v/>
      </c>
      <c r="N142" s="10"/>
      <c r="O142" s="10"/>
      <c r="P142" s="6"/>
      <c r="Q142" s="10"/>
      <c r="R142" s="6"/>
    </row>
    <row r="143" spans="1:18" x14ac:dyDescent="0.25">
      <c r="A143" s="8"/>
      <c r="B143" s="9" t="str">
        <f>IF(A143="","","W"&amp;(INT((A143-Lists!$B$2)/7)+1))</f>
        <v/>
      </c>
      <c r="C143" s="10"/>
      <c r="D143" s="10"/>
      <c r="E143" s="9" t="str">
        <f t="shared" si="2"/>
        <v/>
      </c>
      <c r="F143" s="11"/>
      <c r="G143" s="10"/>
      <c r="H143" s="10"/>
      <c r="I143" s="10"/>
      <c r="J143" s="10"/>
      <c r="K143" s="12" t="str">
        <f>IFERROR(IF(J143="","",VLOOKUP(J143,Lists!$K$2:$O$61,5,FALSE)),"")</f>
        <v/>
      </c>
      <c r="L143" s="9" t="str">
        <f>IFERROR(IF(J143="","",VLOOKUP(J143,Lists!$K$2:$O$61,2,FALSE)),"")</f>
        <v/>
      </c>
      <c r="M143" s="9" t="str">
        <f>IFERROR(IF(J143="","",VLOOKUP(J143,Lists!$K$2:$O$61,3,FALSE)),"")</f>
        <v/>
      </c>
      <c r="N143" s="10"/>
      <c r="O143" s="10"/>
      <c r="P143" s="6"/>
      <c r="Q143" s="10"/>
      <c r="R143" s="6"/>
    </row>
    <row r="144" spans="1:18" x14ac:dyDescent="0.25">
      <c r="A144" s="8"/>
      <c r="B144" s="9" t="str">
        <f>IF(A144="","","W"&amp;(INT((A144-Lists!$B$2)/7)+1))</f>
        <v/>
      </c>
      <c r="C144" s="10"/>
      <c r="D144" s="10"/>
      <c r="E144" s="9" t="str">
        <f t="shared" si="2"/>
        <v/>
      </c>
      <c r="F144" s="11"/>
      <c r="G144" s="10"/>
      <c r="H144" s="10"/>
      <c r="I144" s="10"/>
      <c r="J144" s="10"/>
      <c r="K144" s="12" t="str">
        <f>IFERROR(IF(J144="","",VLOOKUP(J144,Lists!$K$2:$O$61,5,FALSE)),"")</f>
        <v/>
      </c>
      <c r="L144" s="9" t="str">
        <f>IFERROR(IF(J144="","",VLOOKUP(J144,Lists!$K$2:$O$61,2,FALSE)),"")</f>
        <v/>
      </c>
      <c r="M144" s="9" t="str">
        <f>IFERROR(IF(J144="","",VLOOKUP(J144,Lists!$K$2:$O$61,3,FALSE)),"")</f>
        <v/>
      </c>
      <c r="N144" s="10"/>
      <c r="O144" s="10"/>
      <c r="P144" s="6"/>
      <c r="Q144" s="10"/>
      <c r="R144" s="6"/>
    </row>
    <row r="145" spans="1:18" x14ac:dyDescent="0.25">
      <c r="A145" s="8"/>
      <c r="B145" s="9" t="str">
        <f>IF(A145="","","W"&amp;(INT((A145-Lists!$B$2)/7)+1))</f>
        <v/>
      </c>
      <c r="C145" s="10"/>
      <c r="D145" s="10"/>
      <c r="E145" s="9" t="str">
        <f t="shared" si="2"/>
        <v/>
      </c>
      <c r="F145" s="11"/>
      <c r="G145" s="10"/>
      <c r="H145" s="10"/>
      <c r="I145" s="10"/>
      <c r="J145" s="10"/>
      <c r="K145" s="12" t="str">
        <f>IFERROR(IF(J145="","",VLOOKUP(J145,Lists!$K$2:$O$61,5,FALSE)),"")</f>
        <v/>
      </c>
      <c r="L145" s="9" t="str">
        <f>IFERROR(IF(J145="","",VLOOKUP(J145,Lists!$K$2:$O$61,2,FALSE)),"")</f>
        <v/>
      </c>
      <c r="M145" s="9" t="str">
        <f>IFERROR(IF(J145="","",VLOOKUP(J145,Lists!$K$2:$O$61,3,FALSE)),"")</f>
        <v/>
      </c>
      <c r="N145" s="10"/>
      <c r="O145" s="10"/>
      <c r="P145" s="6"/>
      <c r="Q145" s="10"/>
      <c r="R145" s="6"/>
    </row>
    <row r="146" spans="1:18" x14ac:dyDescent="0.25">
      <c r="A146" s="8"/>
      <c r="B146" s="9" t="str">
        <f>IF(A146="","","W"&amp;(INT((A146-Lists!$B$2)/7)+1))</f>
        <v/>
      </c>
      <c r="C146" s="10"/>
      <c r="D146" s="10"/>
      <c r="E146" s="9" t="str">
        <f t="shared" si="2"/>
        <v/>
      </c>
      <c r="F146" s="11"/>
      <c r="G146" s="10"/>
      <c r="H146" s="10"/>
      <c r="I146" s="10"/>
      <c r="J146" s="10"/>
      <c r="K146" s="12" t="str">
        <f>IFERROR(IF(J146="","",VLOOKUP(J146,Lists!$K$2:$O$61,5,FALSE)),"")</f>
        <v/>
      </c>
      <c r="L146" s="9" t="str">
        <f>IFERROR(IF(J146="","",VLOOKUP(J146,Lists!$K$2:$O$61,2,FALSE)),"")</f>
        <v/>
      </c>
      <c r="M146" s="9" t="str">
        <f>IFERROR(IF(J146="","",VLOOKUP(J146,Lists!$K$2:$O$61,3,FALSE)),"")</f>
        <v/>
      </c>
      <c r="N146" s="10"/>
      <c r="O146" s="10"/>
      <c r="P146" s="6"/>
      <c r="Q146" s="10"/>
      <c r="R146" s="6"/>
    </row>
    <row r="147" spans="1:18" x14ac:dyDescent="0.25">
      <c r="A147" s="8"/>
      <c r="B147" s="9" t="str">
        <f>IF(A147="","","W"&amp;(INT((A147-Lists!$B$2)/7)+1))</f>
        <v/>
      </c>
      <c r="C147" s="10"/>
      <c r="D147" s="10"/>
      <c r="E147" s="9" t="str">
        <f t="shared" si="2"/>
        <v/>
      </c>
      <c r="F147" s="11"/>
      <c r="G147" s="10"/>
      <c r="H147" s="10"/>
      <c r="I147" s="10"/>
      <c r="J147" s="10"/>
      <c r="K147" s="12" t="str">
        <f>IFERROR(IF(J147="","",VLOOKUP(J147,Lists!$K$2:$O$61,5,FALSE)),"")</f>
        <v/>
      </c>
      <c r="L147" s="9" t="str">
        <f>IFERROR(IF(J147="","",VLOOKUP(J147,Lists!$K$2:$O$61,2,FALSE)),"")</f>
        <v/>
      </c>
      <c r="M147" s="9" t="str">
        <f>IFERROR(IF(J147="","",VLOOKUP(J147,Lists!$K$2:$O$61,3,FALSE)),"")</f>
        <v/>
      </c>
      <c r="N147" s="10"/>
      <c r="O147" s="10"/>
      <c r="P147" s="6"/>
      <c r="Q147" s="10"/>
      <c r="R147" s="6"/>
    </row>
    <row r="148" spans="1:18" x14ac:dyDescent="0.25">
      <c r="A148" s="8"/>
      <c r="B148" s="9" t="str">
        <f>IF(A148="","","W"&amp;(INT((A148-Lists!$B$2)/7)+1))</f>
        <v/>
      </c>
      <c r="C148" s="10"/>
      <c r="D148" s="10"/>
      <c r="E148" s="9" t="str">
        <f t="shared" si="2"/>
        <v/>
      </c>
      <c r="F148" s="11"/>
      <c r="G148" s="10"/>
      <c r="H148" s="10"/>
      <c r="I148" s="10"/>
      <c r="J148" s="10"/>
      <c r="K148" s="12" t="str">
        <f>IFERROR(IF(J148="","",VLOOKUP(J148,Lists!$K$2:$O$61,5,FALSE)),"")</f>
        <v/>
      </c>
      <c r="L148" s="9" t="str">
        <f>IFERROR(IF(J148="","",VLOOKUP(J148,Lists!$K$2:$O$61,2,FALSE)),"")</f>
        <v/>
      </c>
      <c r="M148" s="9" t="str">
        <f>IFERROR(IF(J148="","",VLOOKUP(J148,Lists!$K$2:$O$61,3,FALSE)),"")</f>
        <v/>
      </c>
      <c r="N148" s="10"/>
      <c r="O148" s="10"/>
      <c r="P148" s="6"/>
      <c r="Q148" s="10"/>
      <c r="R148" s="6"/>
    </row>
    <row r="149" spans="1:18" x14ac:dyDescent="0.25">
      <c r="A149" s="8"/>
      <c r="B149" s="9" t="str">
        <f>IF(A149="","","W"&amp;(INT((A149-Lists!$B$2)/7)+1))</f>
        <v/>
      </c>
      <c r="C149" s="10"/>
      <c r="D149" s="10"/>
      <c r="E149" s="9" t="str">
        <f t="shared" si="2"/>
        <v/>
      </c>
      <c r="F149" s="11"/>
      <c r="G149" s="10"/>
      <c r="H149" s="10"/>
      <c r="I149" s="10"/>
      <c r="J149" s="10"/>
      <c r="K149" s="12" t="str">
        <f>IFERROR(IF(J149="","",VLOOKUP(J149,Lists!$K$2:$O$61,5,FALSE)),"")</f>
        <v/>
      </c>
      <c r="L149" s="9" t="str">
        <f>IFERROR(IF(J149="","",VLOOKUP(J149,Lists!$K$2:$O$61,2,FALSE)),"")</f>
        <v/>
      </c>
      <c r="M149" s="9" t="str">
        <f>IFERROR(IF(J149="","",VLOOKUP(J149,Lists!$K$2:$O$61,3,FALSE)),"")</f>
        <v/>
      </c>
      <c r="N149" s="10"/>
      <c r="O149" s="10"/>
      <c r="P149" s="6"/>
      <c r="Q149" s="10"/>
      <c r="R149" s="6"/>
    </row>
    <row r="150" spans="1:18" x14ac:dyDescent="0.25">
      <c r="A150" s="8"/>
      <c r="B150" s="9" t="str">
        <f>IF(A150="","","W"&amp;(INT((A150-Lists!$B$2)/7)+1))</f>
        <v/>
      </c>
      <c r="C150" s="10"/>
      <c r="D150" s="10"/>
      <c r="E150" s="9" t="str">
        <f t="shared" si="2"/>
        <v/>
      </c>
      <c r="F150" s="11"/>
      <c r="G150" s="10"/>
      <c r="H150" s="10"/>
      <c r="I150" s="10"/>
      <c r="J150" s="10"/>
      <c r="K150" s="12" t="str">
        <f>IFERROR(IF(J150="","",VLOOKUP(J150,Lists!$K$2:$O$61,5,FALSE)),"")</f>
        <v/>
      </c>
      <c r="L150" s="9" t="str">
        <f>IFERROR(IF(J150="","",VLOOKUP(J150,Lists!$K$2:$O$61,2,FALSE)),"")</f>
        <v/>
      </c>
      <c r="M150" s="9" t="str">
        <f>IFERROR(IF(J150="","",VLOOKUP(J150,Lists!$K$2:$O$61,3,FALSE)),"")</f>
        <v/>
      </c>
      <c r="N150" s="10"/>
      <c r="O150" s="10"/>
      <c r="P150" s="6"/>
      <c r="Q150" s="10"/>
      <c r="R150" s="6"/>
    </row>
    <row r="151" spans="1:18" x14ac:dyDescent="0.25">
      <c r="A151" s="8"/>
      <c r="B151" s="9" t="str">
        <f>IF(A151="","","W"&amp;(INT((A151-Lists!$B$2)/7)+1))</f>
        <v/>
      </c>
      <c r="C151" s="10"/>
      <c r="D151" s="10"/>
      <c r="E151" s="9" t="str">
        <f t="shared" si="2"/>
        <v/>
      </c>
      <c r="F151" s="11"/>
      <c r="G151" s="10"/>
      <c r="H151" s="10"/>
      <c r="I151" s="10"/>
      <c r="J151" s="10"/>
      <c r="K151" s="12" t="str">
        <f>IFERROR(IF(J151="","",VLOOKUP(J151,Lists!$K$2:$O$61,5,FALSE)),"")</f>
        <v/>
      </c>
      <c r="L151" s="9" t="str">
        <f>IFERROR(IF(J151="","",VLOOKUP(J151,Lists!$K$2:$O$61,2,FALSE)),"")</f>
        <v/>
      </c>
      <c r="M151" s="9" t="str">
        <f>IFERROR(IF(J151="","",VLOOKUP(J151,Lists!$K$2:$O$61,3,FALSE)),"")</f>
        <v/>
      </c>
      <c r="N151" s="10"/>
      <c r="O151" s="10"/>
      <c r="P151" s="6"/>
      <c r="Q151" s="10"/>
      <c r="R151" s="6"/>
    </row>
    <row r="152" spans="1:18" x14ac:dyDescent="0.25">
      <c r="A152" s="8"/>
      <c r="B152" s="9" t="str">
        <f>IF(A152="","","W"&amp;(INT((A152-Lists!$B$2)/7)+1))</f>
        <v/>
      </c>
      <c r="C152" s="10"/>
      <c r="D152" s="10"/>
      <c r="E152" s="9" t="str">
        <f t="shared" si="2"/>
        <v/>
      </c>
      <c r="F152" s="11"/>
      <c r="G152" s="10"/>
      <c r="H152" s="10"/>
      <c r="I152" s="10"/>
      <c r="J152" s="10"/>
      <c r="K152" s="12" t="str">
        <f>IFERROR(IF(J152="","",VLOOKUP(J152,Lists!$K$2:$O$61,5,FALSE)),"")</f>
        <v/>
      </c>
      <c r="L152" s="9" t="str">
        <f>IFERROR(IF(J152="","",VLOOKUP(J152,Lists!$K$2:$O$61,2,FALSE)),"")</f>
        <v/>
      </c>
      <c r="M152" s="9" t="str">
        <f>IFERROR(IF(J152="","",VLOOKUP(J152,Lists!$K$2:$O$61,3,FALSE)),"")</f>
        <v/>
      </c>
      <c r="N152" s="10"/>
      <c r="O152" s="10"/>
      <c r="P152" s="6"/>
      <c r="Q152" s="10"/>
      <c r="R152" s="6"/>
    </row>
    <row r="153" spans="1:18" x14ac:dyDescent="0.25">
      <c r="A153" s="8"/>
      <c r="B153" s="9" t="str">
        <f>IF(A153="","","W"&amp;(INT((A153-Lists!$B$2)/7)+1))</f>
        <v/>
      </c>
      <c r="C153" s="10"/>
      <c r="D153" s="10"/>
      <c r="E153" s="9" t="str">
        <f t="shared" si="2"/>
        <v/>
      </c>
      <c r="F153" s="11"/>
      <c r="G153" s="10"/>
      <c r="H153" s="10"/>
      <c r="I153" s="10"/>
      <c r="J153" s="10"/>
      <c r="K153" s="12" t="str">
        <f>IFERROR(IF(J153="","",VLOOKUP(J153,Lists!$K$2:$O$61,5,FALSE)),"")</f>
        <v/>
      </c>
      <c r="L153" s="9" t="str">
        <f>IFERROR(IF(J153="","",VLOOKUP(J153,Lists!$K$2:$O$61,2,FALSE)),"")</f>
        <v/>
      </c>
      <c r="M153" s="9" t="str">
        <f>IFERROR(IF(J153="","",VLOOKUP(J153,Lists!$K$2:$O$61,3,FALSE)),"")</f>
        <v/>
      </c>
      <c r="N153" s="10"/>
      <c r="O153" s="10"/>
      <c r="P153" s="6"/>
      <c r="Q153" s="10"/>
      <c r="R153" s="6"/>
    </row>
    <row r="154" spans="1:18" x14ac:dyDescent="0.25">
      <c r="A154" s="8"/>
      <c r="B154" s="9" t="str">
        <f>IF(A154="","","W"&amp;(INT((A154-Lists!$B$2)/7)+1))</f>
        <v/>
      </c>
      <c r="C154" s="10"/>
      <c r="D154" s="10"/>
      <c r="E154" s="9" t="str">
        <f t="shared" si="2"/>
        <v/>
      </c>
      <c r="F154" s="11"/>
      <c r="G154" s="10"/>
      <c r="H154" s="10"/>
      <c r="I154" s="10"/>
      <c r="J154" s="10"/>
      <c r="K154" s="12" t="str">
        <f>IFERROR(IF(J154="","",VLOOKUP(J154,Lists!$K$2:$O$61,5,FALSE)),"")</f>
        <v/>
      </c>
      <c r="L154" s="9" t="str">
        <f>IFERROR(IF(J154="","",VLOOKUP(J154,Lists!$K$2:$O$61,2,FALSE)),"")</f>
        <v/>
      </c>
      <c r="M154" s="9" t="str">
        <f>IFERROR(IF(J154="","",VLOOKUP(J154,Lists!$K$2:$O$61,3,FALSE)),"")</f>
        <v/>
      </c>
      <c r="N154" s="10"/>
      <c r="O154" s="10"/>
      <c r="P154" s="6"/>
      <c r="Q154" s="10"/>
      <c r="R154" s="6"/>
    </row>
    <row r="155" spans="1:18" x14ac:dyDescent="0.25">
      <c r="A155" s="8"/>
      <c r="B155" s="9" t="str">
        <f>IF(A155="","","W"&amp;(INT((A155-Lists!$B$2)/7)+1))</f>
        <v/>
      </c>
      <c r="C155" s="10"/>
      <c r="D155" s="10"/>
      <c r="E155" s="9" t="str">
        <f t="shared" si="2"/>
        <v/>
      </c>
      <c r="F155" s="11"/>
      <c r="G155" s="10"/>
      <c r="H155" s="10"/>
      <c r="I155" s="10"/>
      <c r="J155" s="10"/>
      <c r="K155" s="12" t="str">
        <f>IFERROR(IF(J155="","",VLOOKUP(J155,Lists!$K$2:$O$61,5,FALSE)),"")</f>
        <v/>
      </c>
      <c r="L155" s="9" t="str">
        <f>IFERROR(IF(J155="","",VLOOKUP(J155,Lists!$K$2:$O$61,2,FALSE)),"")</f>
        <v/>
      </c>
      <c r="M155" s="9" t="str">
        <f>IFERROR(IF(J155="","",VLOOKUP(J155,Lists!$K$2:$O$61,3,FALSE)),"")</f>
        <v/>
      </c>
      <c r="N155" s="10"/>
      <c r="O155" s="10"/>
      <c r="P155" s="6"/>
      <c r="Q155" s="10"/>
      <c r="R155" s="6"/>
    </row>
    <row r="156" spans="1:18" x14ac:dyDescent="0.25">
      <c r="A156" s="8"/>
      <c r="B156" s="9" t="str">
        <f>IF(A156="","","W"&amp;(INT((A156-Lists!$B$2)/7)+1))</f>
        <v/>
      </c>
      <c r="C156" s="10"/>
      <c r="D156" s="10"/>
      <c r="E156" s="9" t="str">
        <f t="shared" si="2"/>
        <v/>
      </c>
      <c r="F156" s="11"/>
      <c r="G156" s="10"/>
      <c r="H156" s="10"/>
      <c r="I156" s="10"/>
      <c r="J156" s="10"/>
      <c r="K156" s="12" t="str">
        <f>IFERROR(IF(J156="","",VLOOKUP(J156,Lists!$K$2:$O$61,5,FALSE)),"")</f>
        <v/>
      </c>
      <c r="L156" s="9" t="str">
        <f>IFERROR(IF(J156="","",VLOOKUP(J156,Lists!$K$2:$O$61,2,FALSE)),"")</f>
        <v/>
      </c>
      <c r="M156" s="9" t="str">
        <f>IFERROR(IF(J156="","",VLOOKUP(J156,Lists!$K$2:$O$61,3,FALSE)),"")</f>
        <v/>
      </c>
      <c r="N156" s="10"/>
      <c r="O156" s="10"/>
      <c r="P156" s="6"/>
      <c r="Q156" s="10"/>
      <c r="R156" s="6"/>
    </row>
    <row r="157" spans="1:18" x14ac:dyDescent="0.25">
      <c r="A157" s="8"/>
      <c r="B157" s="9" t="str">
        <f>IF(A157="","","W"&amp;(INT((A157-Lists!$B$2)/7)+1))</f>
        <v/>
      </c>
      <c r="C157" s="10"/>
      <c r="D157" s="10"/>
      <c r="E157" s="9" t="str">
        <f t="shared" si="2"/>
        <v/>
      </c>
      <c r="F157" s="11"/>
      <c r="G157" s="10"/>
      <c r="H157" s="10"/>
      <c r="I157" s="10"/>
      <c r="J157" s="10"/>
      <c r="K157" s="12" t="str">
        <f>IFERROR(IF(J157="","",VLOOKUP(J157,Lists!$K$2:$O$61,5,FALSE)),"")</f>
        <v/>
      </c>
      <c r="L157" s="9" t="str">
        <f>IFERROR(IF(J157="","",VLOOKUP(J157,Lists!$K$2:$O$61,2,FALSE)),"")</f>
        <v/>
      </c>
      <c r="M157" s="9" t="str">
        <f>IFERROR(IF(J157="","",VLOOKUP(J157,Lists!$K$2:$O$61,3,FALSE)),"")</f>
        <v/>
      </c>
      <c r="N157" s="10"/>
      <c r="O157" s="10"/>
      <c r="P157" s="6"/>
      <c r="Q157" s="10"/>
      <c r="R157" s="6"/>
    </row>
    <row r="158" spans="1:18" x14ac:dyDescent="0.25">
      <c r="A158" s="8"/>
      <c r="B158" s="9" t="str">
        <f>IF(A158="","","W"&amp;(INT((A158-Lists!$B$2)/7)+1))</f>
        <v/>
      </c>
      <c r="C158" s="10"/>
      <c r="D158" s="10"/>
      <c r="E158" s="9" t="str">
        <f t="shared" si="2"/>
        <v/>
      </c>
      <c r="F158" s="11"/>
      <c r="G158" s="10"/>
      <c r="H158" s="10"/>
      <c r="I158" s="10"/>
      <c r="J158" s="10"/>
      <c r="K158" s="12" t="str">
        <f>IFERROR(IF(J158="","",VLOOKUP(J158,Lists!$K$2:$O$61,5,FALSE)),"")</f>
        <v/>
      </c>
      <c r="L158" s="9" t="str">
        <f>IFERROR(IF(J158="","",VLOOKUP(J158,Lists!$K$2:$O$61,2,FALSE)),"")</f>
        <v/>
      </c>
      <c r="M158" s="9" t="str">
        <f>IFERROR(IF(J158="","",VLOOKUP(J158,Lists!$K$2:$O$61,3,FALSE)),"")</f>
        <v/>
      </c>
      <c r="N158" s="10"/>
      <c r="O158" s="10"/>
      <c r="P158" s="6"/>
      <c r="Q158" s="10"/>
      <c r="R158" s="6"/>
    </row>
    <row r="159" spans="1:18" x14ac:dyDescent="0.25">
      <c r="A159" s="8"/>
      <c r="B159" s="9" t="str">
        <f>IF(A159="","","W"&amp;(INT((A159-Lists!$B$2)/7)+1))</f>
        <v/>
      </c>
      <c r="C159" s="10"/>
      <c r="D159" s="10"/>
      <c r="E159" s="9" t="str">
        <f t="shared" si="2"/>
        <v/>
      </c>
      <c r="F159" s="11"/>
      <c r="G159" s="10"/>
      <c r="H159" s="10"/>
      <c r="I159" s="10"/>
      <c r="J159" s="10"/>
      <c r="K159" s="12" t="str">
        <f>IFERROR(IF(J159="","",VLOOKUP(J159,Lists!$K$2:$O$61,5,FALSE)),"")</f>
        <v/>
      </c>
      <c r="L159" s="9" t="str">
        <f>IFERROR(IF(J159="","",VLOOKUP(J159,Lists!$K$2:$O$61,2,FALSE)),"")</f>
        <v/>
      </c>
      <c r="M159" s="9" t="str">
        <f>IFERROR(IF(J159="","",VLOOKUP(J159,Lists!$K$2:$O$61,3,FALSE)),"")</f>
        <v/>
      </c>
      <c r="N159" s="10"/>
      <c r="O159" s="10"/>
      <c r="P159" s="6"/>
      <c r="Q159" s="10"/>
      <c r="R159" s="6"/>
    </row>
    <row r="160" spans="1:18" x14ac:dyDescent="0.25">
      <c r="A160" s="8"/>
      <c r="B160" s="9" t="str">
        <f>IF(A160="","","W"&amp;(INT((A160-Lists!$B$2)/7)+1))</f>
        <v/>
      </c>
      <c r="C160" s="10"/>
      <c r="D160" s="10"/>
      <c r="E160" s="9" t="str">
        <f t="shared" si="2"/>
        <v/>
      </c>
      <c r="F160" s="11"/>
      <c r="G160" s="10"/>
      <c r="H160" s="10"/>
      <c r="I160" s="10"/>
      <c r="J160" s="10"/>
      <c r="K160" s="12" t="str">
        <f>IFERROR(IF(J160="","",VLOOKUP(J160,Lists!$K$2:$O$61,5,FALSE)),"")</f>
        <v/>
      </c>
      <c r="L160" s="9" t="str">
        <f>IFERROR(IF(J160="","",VLOOKUP(J160,Lists!$K$2:$O$61,2,FALSE)),"")</f>
        <v/>
      </c>
      <c r="M160" s="9" t="str">
        <f>IFERROR(IF(J160="","",VLOOKUP(J160,Lists!$K$2:$O$61,3,FALSE)),"")</f>
        <v/>
      </c>
      <c r="N160" s="10"/>
      <c r="O160" s="10"/>
      <c r="P160" s="6"/>
      <c r="Q160" s="10"/>
      <c r="R160" s="6"/>
    </row>
    <row r="161" spans="1:18" x14ac:dyDescent="0.25">
      <c r="A161" s="8"/>
      <c r="B161" s="9" t="str">
        <f>IF(A161="","","W"&amp;(INT((A161-Lists!$B$2)/7)+1))</f>
        <v/>
      </c>
      <c r="C161" s="10"/>
      <c r="D161" s="10"/>
      <c r="E161" s="9" t="str">
        <f t="shared" si="2"/>
        <v/>
      </c>
      <c r="F161" s="11"/>
      <c r="G161" s="10"/>
      <c r="H161" s="10"/>
      <c r="I161" s="10"/>
      <c r="J161" s="10"/>
      <c r="K161" s="12" t="str">
        <f>IFERROR(IF(J161="","",VLOOKUP(J161,Lists!$K$2:$O$61,5,FALSE)),"")</f>
        <v/>
      </c>
      <c r="L161" s="9" t="str">
        <f>IFERROR(IF(J161="","",VLOOKUP(J161,Lists!$K$2:$O$61,2,FALSE)),"")</f>
        <v/>
      </c>
      <c r="M161" s="9" t="str">
        <f>IFERROR(IF(J161="","",VLOOKUP(J161,Lists!$K$2:$O$61,3,FALSE)),"")</f>
        <v/>
      </c>
      <c r="N161" s="10"/>
      <c r="O161" s="10"/>
      <c r="P161" s="6"/>
      <c r="Q161" s="10"/>
      <c r="R161" s="6"/>
    </row>
    <row r="162" spans="1:18" x14ac:dyDescent="0.25">
      <c r="A162" s="8"/>
      <c r="B162" s="9" t="str">
        <f>IF(A162="","","W"&amp;(INT((A162-Lists!$B$2)/7)+1))</f>
        <v/>
      </c>
      <c r="C162" s="10"/>
      <c r="D162" s="10"/>
      <c r="E162" s="9" t="str">
        <f t="shared" si="2"/>
        <v/>
      </c>
      <c r="F162" s="11"/>
      <c r="G162" s="10"/>
      <c r="H162" s="10"/>
      <c r="I162" s="10"/>
      <c r="J162" s="10"/>
      <c r="K162" s="12" t="str">
        <f>IFERROR(IF(J162="","",VLOOKUP(J162,Lists!$K$2:$O$61,5,FALSE)),"")</f>
        <v/>
      </c>
      <c r="L162" s="9" t="str">
        <f>IFERROR(IF(J162="","",VLOOKUP(J162,Lists!$K$2:$O$61,2,FALSE)),"")</f>
        <v/>
      </c>
      <c r="M162" s="9" t="str">
        <f>IFERROR(IF(J162="","",VLOOKUP(J162,Lists!$K$2:$O$61,3,FALSE)),"")</f>
        <v/>
      </c>
      <c r="N162" s="10"/>
      <c r="O162" s="10"/>
      <c r="P162" s="6"/>
      <c r="Q162" s="10"/>
      <c r="R162" s="6"/>
    </row>
    <row r="163" spans="1:18" x14ac:dyDescent="0.25">
      <c r="A163" s="8"/>
      <c r="B163" s="9" t="str">
        <f>IF(A163="","","W"&amp;(INT((A163-Lists!$B$2)/7)+1))</f>
        <v/>
      </c>
      <c r="C163" s="10"/>
      <c r="D163" s="10"/>
      <c r="E163" s="9" t="str">
        <f t="shared" si="2"/>
        <v/>
      </c>
      <c r="F163" s="11"/>
      <c r="G163" s="10"/>
      <c r="H163" s="10"/>
      <c r="I163" s="10"/>
      <c r="J163" s="10"/>
      <c r="K163" s="12" t="str">
        <f>IFERROR(IF(J163="","",VLOOKUP(J163,Lists!$K$2:$O$61,5,FALSE)),"")</f>
        <v/>
      </c>
      <c r="L163" s="9" t="str">
        <f>IFERROR(IF(J163="","",VLOOKUP(J163,Lists!$K$2:$O$61,2,FALSE)),"")</f>
        <v/>
      </c>
      <c r="M163" s="9" t="str">
        <f>IFERROR(IF(J163="","",VLOOKUP(J163,Lists!$K$2:$O$61,3,FALSE)),"")</f>
        <v/>
      </c>
      <c r="N163" s="10"/>
      <c r="O163" s="10"/>
      <c r="P163" s="6"/>
      <c r="Q163" s="10"/>
      <c r="R163" s="6"/>
    </row>
    <row r="164" spans="1:18" x14ac:dyDescent="0.25">
      <c r="A164" s="8"/>
      <c r="B164" s="9" t="str">
        <f>IF(A164="","","W"&amp;(INT((A164-Lists!$B$2)/7)+1))</f>
        <v/>
      </c>
      <c r="C164" s="10"/>
      <c r="D164" s="10"/>
      <c r="E164" s="9" t="str">
        <f t="shared" si="2"/>
        <v/>
      </c>
      <c r="F164" s="11"/>
      <c r="G164" s="10"/>
      <c r="H164" s="10"/>
      <c r="I164" s="10"/>
      <c r="J164" s="10"/>
      <c r="K164" s="12" t="str">
        <f>IFERROR(IF(J164="","",VLOOKUP(J164,Lists!$K$2:$O$61,5,FALSE)),"")</f>
        <v/>
      </c>
      <c r="L164" s="9" t="str">
        <f>IFERROR(IF(J164="","",VLOOKUP(J164,Lists!$K$2:$O$61,2,FALSE)),"")</f>
        <v/>
      </c>
      <c r="M164" s="9" t="str">
        <f>IFERROR(IF(J164="","",VLOOKUP(J164,Lists!$K$2:$O$61,3,FALSE)),"")</f>
        <v/>
      </c>
      <c r="N164" s="10"/>
      <c r="O164" s="10"/>
      <c r="P164" s="6"/>
      <c r="Q164" s="10"/>
      <c r="R164" s="6"/>
    </row>
    <row r="165" spans="1:18" x14ac:dyDescent="0.25">
      <c r="A165" s="8"/>
      <c r="B165" s="9" t="str">
        <f>IF(A165="","","W"&amp;(INT((A165-Lists!$B$2)/7)+1))</f>
        <v/>
      </c>
      <c r="C165" s="10"/>
      <c r="D165" s="10"/>
      <c r="E165" s="9" t="str">
        <f t="shared" si="2"/>
        <v/>
      </c>
      <c r="F165" s="11"/>
      <c r="G165" s="10"/>
      <c r="H165" s="10"/>
      <c r="I165" s="10"/>
      <c r="J165" s="10"/>
      <c r="K165" s="12" t="str">
        <f>IFERROR(IF(J165="","",VLOOKUP(J165,Lists!$K$2:$O$61,5,FALSE)),"")</f>
        <v/>
      </c>
      <c r="L165" s="9" t="str">
        <f>IFERROR(IF(J165="","",VLOOKUP(J165,Lists!$K$2:$O$61,2,FALSE)),"")</f>
        <v/>
      </c>
      <c r="M165" s="9" t="str">
        <f>IFERROR(IF(J165="","",VLOOKUP(J165,Lists!$K$2:$O$61,3,FALSE)),"")</f>
        <v/>
      </c>
      <c r="N165" s="10"/>
      <c r="O165" s="10"/>
      <c r="P165" s="6"/>
      <c r="Q165" s="10"/>
      <c r="R165" s="6"/>
    </row>
    <row r="166" spans="1:18" x14ac:dyDescent="0.25">
      <c r="A166" s="8"/>
      <c r="B166" s="9" t="str">
        <f>IF(A166="","","W"&amp;(INT((A166-Lists!$B$2)/7)+1))</f>
        <v/>
      </c>
      <c r="C166" s="10"/>
      <c r="D166" s="10"/>
      <c r="E166" s="9" t="str">
        <f t="shared" si="2"/>
        <v/>
      </c>
      <c r="F166" s="11"/>
      <c r="G166" s="10"/>
      <c r="H166" s="10"/>
      <c r="I166" s="10"/>
      <c r="J166" s="10"/>
      <c r="K166" s="12" t="str">
        <f>IFERROR(IF(J166="","",VLOOKUP(J166,Lists!$K$2:$O$61,5,FALSE)),"")</f>
        <v/>
      </c>
      <c r="L166" s="9" t="str">
        <f>IFERROR(IF(J166="","",VLOOKUP(J166,Lists!$K$2:$O$61,2,FALSE)),"")</f>
        <v/>
      </c>
      <c r="M166" s="9" t="str">
        <f>IFERROR(IF(J166="","",VLOOKUP(J166,Lists!$K$2:$O$61,3,FALSE)),"")</f>
        <v/>
      </c>
      <c r="N166" s="10"/>
      <c r="O166" s="10"/>
      <c r="P166" s="6"/>
      <c r="Q166" s="10"/>
      <c r="R166" s="6"/>
    </row>
    <row r="167" spans="1:18" x14ac:dyDescent="0.25">
      <c r="A167" s="8"/>
      <c r="B167" s="9" t="str">
        <f>IF(A167="","","W"&amp;(INT((A167-Lists!$B$2)/7)+1))</f>
        <v/>
      </c>
      <c r="C167" s="10"/>
      <c r="D167" s="10"/>
      <c r="E167" s="9" t="str">
        <f t="shared" si="2"/>
        <v/>
      </c>
      <c r="F167" s="11"/>
      <c r="G167" s="10"/>
      <c r="H167" s="10"/>
      <c r="I167" s="10"/>
      <c r="J167" s="10"/>
      <c r="K167" s="12" t="str">
        <f>IFERROR(IF(J167="","",VLOOKUP(J167,Lists!$K$2:$O$61,5,FALSE)),"")</f>
        <v/>
      </c>
      <c r="L167" s="9" t="str">
        <f>IFERROR(IF(J167="","",VLOOKUP(J167,Lists!$K$2:$O$61,2,FALSE)),"")</f>
        <v/>
      </c>
      <c r="M167" s="9" t="str">
        <f>IFERROR(IF(J167="","",VLOOKUP(J167,Lists!$K$2:$O$61,3,FALSE)),"")</f>
        <v/>
      </c>
      <c r="N167" s="10"/>
      <c r="O167" s="10"/>
      <c r="P167" s="6"/>
      <c r="Q167" s="10"/>
      <c r="R167" s="6"/>
    </row>
    <row r="168" spans="1:18" x14ac:dyDescent="0.25">
      <c r="A168" s="8"/>
      <c r="B168" s="9" t="str">
        <f>IF(A168="","","W"&amp;(INT((A168-Lists!$B$2)/7)+1))</f>
        <v/>
      </c>
      <c r="C168" s="10"/>
      <c r="D168" s="10"/>
      <c r="E168" s="9" t="str">
        <f t="shared" si="2"/>
        <v/>
      </c>
      <c r="F168" s="11"/>
      <c r="G168" s="10"/>
      <c r="H168" s="10"/>
      <c r="I168" s="10"/>
      <c r="J168" s="10"/>
      <c r="K168" s="12" t="str">
        <f>IFERROR(IF(J168="","",VLOOKUP(J168,Lists!$K$2:$O$61,5,FALSE)),"")</f>
        <v/>
      </c>
      <c r="L168" s="9" t="str">
        <f>IFERROR(IF(J168="","",VLOOKUP(J168,Lists!$K$2:$O$61,2,FALSE)),"")</f>
        <v/>
      </c>
      <c r="M168" s="9" t="str">
        <f>IFERROR(IF(J168="","",VLOOKUP(J168,Lists!$K$2:$O$61,3,FALSE)),"")</f>
        <v/>
      </c>
      <c r="N168" s="10"/>
      <c r="O168" s="10"/>
      <c r="P168" s="6"/>
      <c r="Q168" s="10"/>
      <c r="R168" s="6"/>
    </row>
    <row r="169" spans="1:18" x14ac:dyDescent="0.25">
      <c r="A169" s="8"/>
      <c r="B169" s="9" t="str">
        <f>IF(A169="","","W"&amp;(INT((A169-Lists!$B$2)/7)+1))</f>
        <v/>
      </c>
      <c r="C169" s="10"/>
      <c r="D169" s="10"/>
      <c r="E169" s="9" t="str">
        <f t="shared" si="2"/>
        <v/>
      </c>
      <c r="F169" s="11"/>
      <c r="G169" s="10"/>
      <c r="H169" s="10"/>
      <c r="I169" s="10"/>
      <c r="J169" s="10"/>
      <c r="K169" s="12" t="str">
        <f>IFERROR(IF(J169="","",VLOOKUP(J169,Lists!$K$2:$O$61,5,FALSE)),"")</f>
        <v/>
      </c>
      <c r="L169" s="9" t="str">
        <f>IFERROR(IF(J169="","",VLOOKUP(J169,Lists!$K$2:$O$61,2,FALSE)),"")</f>
        <v/>
      </c>
      <c r="M169" s="9" t="str">
        <f>IFERROR(IF(J169="","",VLOOKUP(J169,Lists!$K$2:$O$61,3,FALSE)),"")</f>
        <v/>
      </c>
      <c r="N169" s="10"/>
      <c r="O169" s="10"/>
      <c r="P169" s="6"/>
      <c r="Q169" s="10"/>
      <c r="R169" s="6"/>
    </row>
    <row r="170" spans="1:18" x14ac:dyDescent="0.25">
      <c r="A170" s="8"/>
      <c r="B170" s="9" t="str">
        <f>IF(A170="","","W"&amp;(INT((A170-Lists!$B$2)/7)+1))</f>
        <v/>
      </c>
      <c r="C170" s="10"/>
      <c r="D170" s="10"/>
      <c r="E170" s="9" t="str">
        <f t="shared" si="2"/>
        <v/>
      </c>
      <c r="F170" s="11"/>
      <c r="G170" s="10"/>
      <c r="H170" s="10"/>
      <c r="I170" s="10"/>
      <c r="J170" s="10"/>
      <c r="K170" s="12" t="str">
        <f>IFERROR(IF(J170="","",VLOOKUP(J170,Lists!$K$2:$O$61,5,FALSE)),"")</f>
        <v/>
      </c>
      <c r="L170" s="9" t="str">
        <f>IFERROR(IF(J170="","",VLOOKUP(J170,Lists!$K$2:$O$61,2,FALSE)),"")</f>
        <v/>
      </c>
      <c r="M170" s="9" t="str">
        <f>IFERROR(IF(J170="","",VLOOKUP(J170,Lists!$K$2:$O$61,3,FALSE)),"")</f>
        <v/>
      </c>
      <c r="N170" s="10"/>
      <c r="O170" s="10"/>
      <c r="P170" s="6"/>
      <c r="Q170" s="10"/>
      <c r="R170" s="6"/>
    </row>
    <row r="171" spans="1:18" x14ac:dyDescent="0.25">
      <c r="A171" s="8"/>
      <c r="B171" s="9" t="str">
        <f>IF(A171="","","W"&amp;(INT((A171-Lists!$B$2)/7)+1))</f>
        <v/>
      </c>
      <c r="C171" s="10"/>
      <c r="D171" s="10"/>
      <c r="E171" s="9" t="str">
        <f t="shared" si="2"/>
        <v/>
      </c>
      <c r="F171" s="11"/>
      <c r="G171" s="10"/>
      <c r="H171" s="10"/>
      <c r="I171" s="10"/>
      <c r="J171" s="10"/>
      <c r="K171" s="12" t="str">
        <f>IFERROR(IF(J171="","",VLOOKUP(J171,Lists!$K$2:$O$61,5,FALSE)),"")</f>
        <v/>
      </c>
      <c r="L171" s="9" t="str">
        <f>IFERROR(IF(J171="","",VLOOKUP(J171,Lists!$K$2:$O$61,2,FALSE)),"")</f>
        <v/>
      </c>
      <c r="M171" s="9" t="str">
        <f>IFERROR(IF(J171="","",VLOOKUP(J171,Lists!$K$2:$O$61,3,FALSE)),"")</f>
        <v/>
      </c>
      <c r="N171" s="10"/>
      <c r="O171" s="10"/>
      <c r="P171" s="6"/>
      <c r="Q171" s="10"/>
      <c r="R171" s="6"/>
    </row>
    <row r="172" spans="1:18" x14ac:dyDescent="0.25">
      <c r="A172" s="8"/>
      <c r="B172" s="9" t="str">
        <f>IF(A172="","","W"&amp;(INT((A172-Lists!$B$2)/7)+1))</f>
        <v/>
      </c>
      <c r="C172" s="10"/>
      <c r="D172" s="10"/>
      <c r="E172" s="9" t="str">
        <f t="shared" si="2"/>
        <v/>
      </c>
      <c r="F172" s="11"/>
      <c r="G172" s="10"/>
      <c r="H172" s="10"/>
      <c r="I172" s="10"/>
      <c r="J172" s="10"/>
      <c r="K172" s="12" t="str">
        <f>IFERROR(IF(J172="","",VLOOKUP(J172,Lists!$K$2:$O$61,5,FALSE)),"")</f>
        <v/>
      </c>
      <c r="L172" s="9" t="str">
        <f>IFERROR(IF(J172="","",VLOOKUP(J172,Lists!$K$2:$O$61,2,FALSE)),"")</f>
        <v/>
      </c>
      <c r="M172" s="9" t="str">
        <f>IFERROR(IF(J172="","",VLOOKUP(J172,Lists!$K$2:$O$61,3,FALSE)),"")</f>
        <v/>
      </c>
      <c r="N172" s="10"/>
      <c r="O172" s="10"/>
      <c r="P172" s="6"/>
      <c r="Q172" s="10"/>
      <c r="R172" s="6"/>
    </row>
    <row r="173" spans="1:18" x14ac:dyDescent="0.25">
      <c r="A173" s="8"/>
      <c r="B173" s="9" t="str">
        <f>IF(A173="","","W"&amp;(INT((A173-Lists!$B$2)/7)+1))</f>
        <v/>
      </c>
      <c r="C173" s="10"/>
      <c r="D173" s="10"/>
      <c r="E173" s="9" t="str">
        <f t="shared" si="2"/>
        <v/>
      </c>
      <c r="F173" s="11"/>
      <c r="G173" s="10"/>
      <c r="H173" s="10"/>
      <c r="I173" s="10"/>
      <c r="J173" s="10"/>
      <c r="K173" s="12" t="str">
        <f>IFERROR(IF(J173="","",VLOOKUP(J173,Lists!$K$2:$O$61,5,FALSE)),"")</f>
        <v/>
      </c>
      <c r="L173" s="9" t="str">
        <f>IFERROR(IF(J173="","",VLOOKUP(J173,Lists!$K$2:$O$61,2,FALSE)),"")</f>
        <v/>
      </c>
      <c r="M173" s="9" t="str">
        <f>IFERROR(IF(J173="","",VLOOKUP(J173,Lists!$K$2:$O$61,3,FALSE)),"")</f>
        <v/>
      </c>
      <c r="N173" s="10"/>
      <c r="O173" s="10"/>
      <c r="P173" s="6"/>
      <c r="Q173" s="10"/>
      <c r="R173" s="6"/>
    </row>
    <row r="174" spans="1:18" x14ac:dyDescent="0.25">
      <c r="A174" s="8"/>
      <c r="B174" s="9" t="str">
        <f>IF(A174="","","W"&amp;(INT((A174-Lists!$B$2)/7)+1))</f>
        <v/>
      </c>
      <c r="C174" s="10"/>
      <c r="D174" s="10"/>
      <c r="E174" s="9" t="str">
        <f t="shared" si="2"/>
        <v/>
      </c>
      <c r="F174" s="11"/>
      <c r="G174" s="10"/>
      <c r="H174" s="10"/>
      <c r="I174" s="10"/>
      <c r="J174" s="10"/>
      <c r="K174" s="12" t="str">
        <f>IFERROR(IF(J174="","",VLOOKUP(J174,Lists!$K$2:$O$61,5,FALSE)),"")</f>
        <v/>
      </c>
      <c r="L174" s="9" t="str">
        <f>IFERROR(IF(J174="","",VLOOKUP(J174,Lists!$K$2:$O$61,2,FALSE)),"")</f>
        <v/>
      </c>
      <c r="M174" s="9" t="str">
        <f>IFERROR(IF(J174="","",VLOOKUP(J174,Lists!$K$2:$O$61,3,FALSE)),"")</f>
        <v/>
      </c>
      <c r="N174" s="10"/>
      <c r="O174" s="10"/>
      <c r="P174" s="6"/>
      <c r="Q174" s="10"/>
      <c r="R174" s="6"/>
    </row>
    <row r="175" spans="1:18" x14ac:dyDescent="0.25">
      <c r="A175" s="8"/>
      <c r="B175" s="9" t="str">
        <f>IF(A175="","","W"&amp;(INT((A175-Lists!$B$2)/7)+1))</f>
        <v/>
      </c>
      <c r="C175" s="10"/>
      <c r="D175" s="10"/>
      <c r="E175" s="9" t="str">
        <f t="shared" si="2"/>
        <v/>
      </c>
      <c r="F175" s="11"/>
      <c r="G175" s="10"/>
      <c r="H175" s="10"/>
      <c r="I175" s="10"/>
      <c r="J175" s="10"/>
      <c r="K175" s="12" t="str">
        <f>IFERROR(IF(J175="","",VLOOKUP(J175,Lists!$K$2:$O$61,5,FALSE)),"")</f>
        <v/>
      </c>
      <c r="L175" s="9" t="str">
        <f>IFERROR(IF(J175="","",VLOOKUP(J175,Lists!$K$2:$O$61,2,FALSE)),"")</f>
        <v/>
      </c>
      <c r="M175" s="9" t="str">
        <f>IFERROR(IF(J175="","",VLOOKUP(J175,Lists!$K$2:$O$61,3,FALSE)),"")</f>
        <v/>
      </c>
      <c r="N175" s="10"/>
      <c r="O175" s="10"/>
      <c r="P175" s="6"/>
      <c r="Q175" s="10"/>
      <c r="R175" s="6"/>
    </row>
    <row r="176" spans="1:18" x14ac:dyDescent="0.25">
      <c r="A176" s="8"/>
      <c r="B176" s="9" t="str">
        <f>IF(A176="","","W"&amp;(INT((A176-Lists!$B$2)/7)+1))</f>
        <v/>
      </c>
      <c r="C176" s="10"/>
      <c r="D176" s="10"/>
      <c r="E176" s="9" t="str">
        <f t="shared" si="2"/>
        <v/>
      </c>
      <c r="F176" s="11"/>
      <c r="G176" s="10"/>
      <c r="H176" s="10"/>
      <c r="I176" s="10"/>
      <c r="J176" s="10"/>
      <c r="K176" s="12" t="str">
        <f>IFERROR(IF(J176="","",VLOOKUP(J176,Lists!$K$2:$O$61,5,FALSE)),"")</f>
        <v/>
      </c>
      <c r="L176" s="9" t="str">
        <f>IFERROR(IF(J176="","",VLOOKUP(J176,Lists!$K$2:$O$61,2,FALSE)),"")</f>
        <v/>
      </c>
      <c r="M176" s="9" t="str">
        <f>IFERROR(IF(J176="","",VLOOKUP(J176,Lists!$K$2:$O$61,3,FALSE)),"")</f>
        <v/>
      </c>
      <c r="N176" s="10"/>
      <c r="O176" s="10"/>
      <c r="P176" s="6"/>
      <c r="Q176" s="10"/>
      <c r="R176" s="6"/>
    </row>
    <row r="177" spans="1:18" x14ac:dyDescent="0.25">
      <c r="A177" s="8"/>
      <c r="B177" s="9" t="str">
        <f>IF(A177="","","W"&amp;(INT((A177-Lists!$B$2)/7)+1))</f>
        <v/>
      </c>
      <c r="C177" s="10"/>
      <c r="D177" s="10"/>
      <c r="E177" s="9" t="str">
        <f t="shared" si="2"/>
        <v/>
      </c>
      <c r="F177" s="11"/>
      <c r="G177" s="10"/>
      <c r="H177" s="10"/>
      <c r="I177" s="10"/>
      <c r="J177" s="10"/>
      <c r="K177" s="12" t="str">
        <f>IFERROR(IF(J177="","",VLOOKUP(J177,Lists!$K$2:$O$61,5,FALSE)),"")</f>
        <v/>
      </c>
      <c r="L177" s="9" t="str">
        <f>IFERROR(IF(J177="","",VLOOKUP(J177,Lists!$K$2:$O$61,2,FALSE)),"")</f>
        <v/>
      </c>
      <c r="M177" s="9" t="str">
        <f>IFERROR(IF(J177="","",VLOOKUP(J177,Lists!$K$2:$O$61,3,FALSE)),"")</f>
        <v/>
      </c>
      <c r="N177" s="10"/>
      <c r="O177" s="10"/>
      <c r="P177" s="6"/>
      <c r="Q177" s="10"/>
      <c r="R177" s="6"/>
    </row>
    <row r="178" spans="1:18" x14ac:dyDescent="0.25">
      <c r="A178" s="8"/>
      <c r="B178" s="9" t="str">
        <f>IF(A178="","","W"&amp;(INT((A178-Lists!$B$2)/7)+1))</f>
        <v/>
      </c>
      <c r="C178" s="10"/>
      <c r="D178" s="10"/>
      <c r="E178" s="9" t="str">
        <f t="shared" si="2"/>
        <v/>
      </c>
      <c r="F178" s="11"/>
      <c r="G178" s="10"/>
      <c r="H178" s="10"/>
      <c r="I178" s="10"/>
      <c r="J178" s="10"/>
      <c r="K178" s="12" t="str">
        <f>IFERROR(IF(J178="","",VLOOKUP(J178,Lists!$K$2:$O$61,5,FALSE)),"")</f>
        <v/>
      </c>
      <c r="L178" s="9" t="str">
        <f>IFERROR(IF(J178="","",VLOOKUP(J178,Lists!$K$2:$O$61,2,FALSE)),"")</f>
        <v/>
      </c>
      <c r="M178" s="9" t="str">
        <f>IFERROR(IF(J178="","",VLOOKUP(J178,Lists!$K$2:$O$61,3,FALSE)),"")</f>
        <v/>
      </c>
      <c r="N178" s="10"/>
      <c r="O178" s="10"/>
      <c r="P178" s="6"/>
      <c r="Q178" s="10"/>
      <c r="R178" s="6"/>
    </row>
    <row r="179" spans="1:18" x14ac:dyDescent="0.25">
      <c r="A179" s="8"/>
      <c r="B179" s="9" t="str">
        <f>IF(A179="","","W"&amp;(INT((A179-Lists!$B$2)/7)+1))</f>
        <v/>
      </c>
      <c r="C179" s="10"/>
      <c r="D179" s="10"/>
      <c r="E179" s="9" t="str">
        <f t="shared" si="2"/>
        <v/>
      </c>
      <c r="F179" s="11"/>
      <c r="G179" s="10"/>
      <c r="H179" s="10"/>
      <c r="I179" s="10"/>
      <c r="J179" s="10"/>
      <c r="K179" s="12" t="str">
        <f>IFERROR(IF(J179="","",VLOOKUP(J179,Lists!$K$2:$O$61,5,FALSE)),"")</f>
        <v/>
      </c>
      <c r="L179" s="9" t="str">
        <f>IFERROR(IF(J179="","",VLOOKUP(J179,Lists!$K$2:$O$61,2,FALSE)),"")</f>
        <v/>
      </c>
      <c r="M179" s="9" t="str">
        <f>IFERROR(IF(J179="","",VLOOKUP(J179,Lists!$K$2:$O$61,3,FALSE)),"")</f>
        <v/>
      </c>
      <c r="N179" s="10"/>
      <c r="O179" s="10"/>
      <c r="P179" s="6"/>
      <c r="Q179" s="10"/>
      <c r="R179" s="6"/>
    </row>
    <row r="180" spans="1:18" x14ac:dyDescent="0.25">
      <c r="A180" s="8"/>
      <c r="B180" s="9" t="str">
        <f>IF(A180="","","W"&amp;(INT((A180-Lists!$B$2)/7)+1))</f>
        <v/>
      </c>
      <c r="C180" s="10"/>
      <c r="D180" s="10"/>
      <c r="E180" s="9" t="str">
        <f t="shared" si="2"/>
        <v/>
      </c>
      <c r="F180" s="11"/>
      <c r="G180" s="10"/>
      <c r="H180" s="10"/>
      <c r="I180" s="10"/>
      <c r="J180" s="10"/>
      <c r="K180" s="12" t="str">
        <f>IFERROR(IF(J180="","",VLOOKUP(J180,Lists!$K$2:$O$61,5,FALSE)),"")</f>
        <v/>
      </c>
      <c r="L180" s="9" t="str">
        <f>IFERROR(IF(J180="","",VLOOKUP(J180,Lists!$K$2:$O$61,2,FALSE)),"")</f>
        <v/>
      </c>
      <c r="M180" s="9" t="str">
        <f>IFERROR(IF(J180="","",VLOOKUP(J180,Lists!$K$2:$O$61,3,FALSE)),"")</f>
        <v/>
      </c>
      <c r="N180" s="10"/>
      <c r="O180" s="10"/>
      <c r="P180" s="6"/>
      <c r="Q180" s="10"/>
      <c r="R180" s="6"/>
    </row>
    <row r="181" spans="1:18" x14ac:dyDescent="0.25">
      <c r="A181" s="8"/>
      <c r="B181" s="9" t="str">
        <f>IF(A181="","","W"&amp;(INT((A181-Lists!$B$2)/7)+1))</f>
        <v/>
      </c>
      <c r="C181" s="10"/>
      <c r="D181" s="10"/>
      <c r="E181" s="9" t="str">
        <f t="shared" si="2"/>
        <v/>
      </c>
      <c r="F181" s="11"/>
      <c r="G181" s="10"/>
      <c r="H181" s="10"/>
      <c r="I181" s="10"/>
      <c r="J181" s="10"/>
      <c r="K181" s="12" t="str">
        <f>IFERROR(IF(J181="","",VLOOKUP(J181,Lists!$K$2:$O$61,5,FALSE)),"")</f>
        <v/>
      </c>
      <c r="L181" s="9" t="str">
        <f>IFERROR(IF(J181="","",VLOOKUP(J181,Lists!$K$2:$O$61,2,FALSE)),"")</f>
        <v/>
      </c>
      <c r="M181" s="9" t="str">
        <f>IFERROR(IF(J181="","",VLOOKUP(J181,Lists!$K$2:$O$61,3,FALSE)),"")</f>
        <v/>
      </c>
      <c r="N181" s="10"/>
      <c r="O181" s="10"/>
      <c r="P181" s="6"/>
      <c r="Q181" s="10"/>
      <c r="R181" s="6"/>
    </row>
    <row r="182" spans="1:18" x14ac:dyDescent="0.25">
      <c r="A182" s="8"/>
      <c r="B182" s="9" t="str">
        <f>IF(A182="","","W"&amp;(INT((A182-Lists!$B$2)/7)+1))</f>
        <v/>
      </c>
      <c r="C182" s="10"/>
      <c r="D182" s="10"/>
      <c r="E182" s="9" t="str">
        <f t="shared" si="2"/>
        <v/>
      </c>
      <c r="F182" s="11"/>
      <c r="G182" s="10"/>
      <c r="H182" s="10"/>
      <c r="I182" s="10"/>
      <c r="J182" s="10"/>
      <c r="K182" s="12" t="str">
        <f>IFERROR(IF(J182="","",VLOOKUP(J182,Lists!$K$2:$O$61,5,FALSE)),"")</f>
        <v/>
      </c>
      <c r="L182" s="9" t="str">
        <f>IFERROR(IF(J182="","",VLOOKUP(J182,Lists!$K$2:$O$61,2,FALSE)),"")</f>
        <v/>
      </c>
      <c r="M182" s="9" t="str">
        <f>IFERROR(IF(J182="","",VLOOKUP(J182,Lists!$K$2:$O$61,3,FALSE)),"")</f>
        <v/>
      </c>
      <c r="N182" s="10"/>
      <c r="O182" s="10"/>
      <c r="P182" s="6"/>
      <c r="Q182" s="10"/>
      <c r="R182" s="6"/>
    </row>
    <row r="183" spans="1:18" x14ac:dyDescent="0.25">
      <c r="A183" s="8"/>
      <c r="B183" s="9" t="str">
        <f>IF(A183="","","W"&amp;(INT((A183-Lists!$B$2)/7)+1))</f>
        <v/>
      </c>
      <c r="C183" s="10"/>
      <c r="D183" s="10"/>
      <c r="E183" s="9" t="str">
        <f t="shared" si="2"/>
        <v/>
      </c>
      <c r="F183" s="11"/>
      <c r="G183" s="10"/>
      <c r="H183" s="10"/>
      <c r="I183" s="10"/>
      <c r="J183" s="10"/>
      <c r="K183" s="12" t="str">
        <f>IFERROR(IF(J183="","",VLOOKUP(J183,Lists!$K$2:$O$61,5,FALSE)),"")</f>
        <v/>
      </c>
      <c r="L183" s="9" t="str">
        <f>IFERROR(IF(J183="","",VLOOKUP(J183,Lists!$K$2:$O$61,2,FALSE)),"")</f>
        <v/>
      </c>
      <c r="M183" s="9" t="str">
        <f>IFERROR(IF(J183="","",VLOOKUP(J183,Lists!$K$2:$O$61,3,FALSE)),"")</f>
        <v/>
      </c>
      <c r="N183" s="10"/>
      <c r="O183" s="10"/>
      <c r="P183" s="6"/>
      <c r="Q183" s="10"/>
      <c r="R183" s="6"/>
    </row>
    <row r="184" spans="1:18" x14ac:dyDescent="0.25">
      <c r="A184" s="8"/>
      <c r="B184" s="9" t="str">
        <f>IF(A184="","","W"&amp;(INT((A184-Lists!$B$2)/7)+1))</f>
        <v/>
      </c>
      <c r="C184" s="10"/>
      <c r="D184" s="10"/>
      <c r="E184" s="9" t="str">
        <f t="shared" si="2"/>
        <v/>
      </c>
      <c r="F184" s="11"/>
      <c r="G184" s="10"/>
      <c r="H184" s="10"/>
      <c r="I184" s="10"/>
      <c r="J184" s="10"/>
      <c r="K184" s="12" t="str">
        <f>IFERROR(IF(J184="","",VLOOKUP(J184,Lists!$K$2:$O$61,5,FALSE)),"")</f>
        <v/>
      </c>
      <c r="L184" s="9" t="str">
        <f>IFERROR(IF(J184="","",VLOOKUP(J184,Lists!$K$2:$O$61,2,FALSE)),"")</f>
        <v/>
      </c>
      <c r="M184" s="9" t="str">
        <f>IFERROR(IF(J184="","",VLOOKUP(J184,Lists!$K$2:$O$61,3,FALSE)),"")</f>
        <v/>
      </c>
      <c r="N184" s="10"/>
      <c r="O184" s="10"/>
      <c r="P184" s="6"/>
      <c r="Q184" s="10"/>
      <c r="R184" s="6"/>
    </row>
    <row r="185" spans="1:18" x14ac:dyDescent="0.25">
      <c r="A185" s="8"/>
      <c r="B185" s="9" t="str">
        <f>IF(A185="","","W"&amp;(INT((A185-Lists!$B$2)/7)+1))</f>
        <v/>
      </c>
      <c r="C185" s="10"/>
      <c r="D185" s="10"/>
      <c r="E185" s="9" t="str">
        <f t="shared" si="2"/>
        <v/>
      </c>
      <c r="F185" s="11"/>
      <c r="G185" s="10"/>
      <c r="H185" s="10"/>
      <c r="I185" s="10"/>
      <c r="J185" s="10"/>
      <c r="K185" s="12" t="str">
        <f>IFERROR(IF(J185="","",VLOOKUP(J185,Lists!$K$2:$O$61,5,FALSE)),"")</f>
        <v/>
      </c>
      <c r="L185" s="9" t="str">
        <f>IFERROR(IF(J185="","",VLOOKUP(J185,Lists!$K$2:$O$61,2,FALSE)),"")</f>
        <v/>
      </c>
      <c r="M185" s="9" t="str">
        <f>IFERROR(IF(J185="","",VLOOKUP(J185,Lists!$K$2:$O$61,3,FALSE)),"")</f>
        <v/>
      </c>
      <c r="N185" s="10"/>
      <c r="O185" s="10"/>
      <c r="P185" s="6"/>
      <c r="Q185" s="10"/>
      <c r="R185" s="6"/>
    </row>
    <row r="186" spans="1:18" x14ac:dyDescent="0.25">
      <c r="A186" s="8"/>
      <c r="B186" s="9" t="str">
        <f>IF(A186="","","W"&amp;(INT((A186-Lists!$B$2)/7)+1))</f>
        <v/>
      </c>
      <c r="C186" s="10"/>
      <c r="D186" s="10"/>
      <c r="E186" s="9" t="str">
        <f t="shared" si="2"/>
        <v/>
      </c>
      <c r="F186" s="11"/>
      <c r="G186" s="10"/>
      <c r="H186" s="10"/>
      <c r="I186" s="10"/>
      <c r="J186" s="10"/>
      <c r="K186" s="12" t="str">
        <f>IFERROR(IF(J186="","",VLOOKUP(J186,Lists!$K$2:$O$61,5,FALSE)),"")</f>
        <v/>
      </c>
      <c r="L186" s="9" t="str">
        <f>IFERROR(IF(J186="","",VLOOKUP(J186,Lists!$K$2:$O$61,2,FALSE)),"")</f>
        <v/>
      </c>
      <c r="M186" s="9" t="str">
        <f>IFERROR(IF(J186="","",VLOOKUP(J186,Lists!$K$2:$O$61,3,FALSE)),"")</f>
        <v/>
      </c>
      <c r="N186" s="10"/>
      <c r="O186" s="10"/>
      <c r="P186" s="6"/>
      <c r="Q186" s="10"/>
      <c r="R186" s="6"/>
    </row>
    <row r="187" spans="1:18" x14ac:dyDescent="0.25">
      <c r="A187" s="8"/>
      <c r="B187" s="9" t="str">
        <f>IF(A187="","","W"&amp;(INT((A187-Lists!$B$2)/7)+1))</f>
        <v/>
      </c>
      <c r="C187" s="10"/>
      <c r="D187" s="10"/>
      <c r="E187" s="9" t="str">
        <f t="shared" si="2"/>
        <v/>
      </c>
      <c r="F187" s="11"/>
      <c r="G187" s="10"/>
      <c r="H187" s="10"/>
      <c r="I187" s="10"/>
      <c r="J187" s="10"/>
      <c r="K187" s="12" t="str">
        <f>IFERROR(IF(J187="","",VLOOKUP(J187,Lists!$K$2:$O$61,5,FALSE)),"")</f>
        <v/>
      </c>
      <c r="L187" s="9" t="str">
        <f>IFERROR(IF(J187="","",VLOOKUP(J187,Lists!$K$2:$O$61,2,FALSE)),"")</f>
        <v/>
      </c>
      <c r="M187" s="9" t="str">
        <f>IFERROR(IF(J187="","",VLOOKUP(J187,Lists!$K$2:$O$61,3,FALSE)),"")</f>
        <v/>
      </c>
      <c r="N187" s="10"/>
      <c r="O187" s="10"/>
      <c r="P187" s="6"/>
      <c r="Q187" s="10"/>
      <c r="R187" s="6"/>
    </row>
    <row r="188" spans="1:18" x14ac:dyDescent="0.25">
      <c r="A188" s="8"/>
      <c r="B188" s="9" t="str">
        <f>IF(A188="","","W"&amp;(INT((A188-Lists!$B$2)/7)+1))</f>
        <v/>
      </c>
      <c r="C188" s="10"/>
      <c r="D188" s="10"/>
      <c r="E188" s="9" t="str">
        <f t="shared" si="2"/>
        <v/>
      </c>
      <c r="F188" s="11"/>
      <c r="G188" s="10"/>
      <c r="H188" s="10"/>
      <c r="I188" s="10"/>
      <c r="J188" s="10"/>
      <c r="K188" s="12" t="str">
        <f>IFERROR(IF(J188="","",VLOOKUP(J188,Lists!$K$2:$O$61,5,FALSE)),"")</f>
        <v/>
      </c>
      <c r="L188" s="9" t="str">
        <f>IFERROR(IF(J188="","",VLOOKUP(J188,Lists!$K$2:$O$61,2,FALSE)),"")</f>
        <v/>
      </c>
      <c r="M188" s="9" t="str">
        <f>IFERROR(IF(J188="","",VLOOKUP(J188,Lists!$K$2:$O$61,3,FALSE)),"")</f>
        <v/>
      </c>
      <c r="N188" s="10"/>
      <c r="O188" s="10"/>
      <c r="P188" s="6"/>
      <c r="Q188" s="10"/>
      <c r="R188" s="6"/>
    </row>
    <row r="189" spans="1:18" x14ac:dyDescent="0.25">
      <c r="A189" s="8"/>
      <c r="B189" s="9" t="str">
        <f>IF(A189="","","W"&amp;(INT((A189-Lists!$B$2)/7)+1))</f>
        <v/>
      </c>
      <c r="C189" s="10"/>
      <c r="D189" s="10"/>
      <c r="E189" s="9" t="str">
        <f t="shared" si="2"/>
        <v/>
      </c>
      <c r="F189" s="11"/>
      <c r="G189" s="10"/>
      <c r="H189" s="10"/>
      <c r="I189" s="10"/>
      <c r="J189" s="10"/>
      <c r="K189" s="12" t="str">
        <f>IFERROR(IF(J189="","",VLOOKUP(J189,Lists!$K$2:$O$61,5,FALSE)),"")</f>
        <v/>
      </c>
      <c r="L189" s="9" t="str">
        <f>IFERROR(IF(J189="","",VLOOKUP(J189,Lists!$K$2:$O$61,2,FALSE)),"")</f>
        <v/>
      </c>
      <c r="M189" s="9" t="str">
        <f>IFERROR(IF(J189="","",VLOOKUP(J189,Lists!$K$2:$O$61,3,FALSE)),"")</f>
        <v/>
      </c>
      <c r="N189" s="10"/>
      <c r="O189" s="10"/>
      <c r="P189" s="6"/>
      <c r="Q189" s="10"/>
      <c r="R189" s="6"/>
    </row>
    <row r="190" spans="1:18" x14ac:dyDescent="0.25">
      <c r="A190" s="8"/>
      <c r="B190" s="9" t="str">
        <f>IF(A190="","","W"&amp;(INT((A190-Lists!$B$2)/7)+1))</f>
        <v/>
      </c>
      <c r="C190" s="10"/>
      <c r="D190" s="10"/>
      <c r="E190" s="9" t="str">
        <f t="shared" si="2"/>
        <v/>
      </c>
      <c r="F190" s="11"/>
      <c r="G190" s="10"/>
      <c r="H190" s="10"/>
      <c r="I190" s="10"/>
      <c r="J190" s="10"/>
      <c r="K190" s="12" t="str">
        <f>IFERROR(IF(J190="","",VLOOKUP(J190,Lists!$K$2:$O$61,5,FALSE)),"")</f>
        <v/>
      </c>
      <c r="L190" s="9" t="str">
        <f>IFERROR(IF(J190="","",VLOOKUP(J190,Lists!$K$2:$O$61,2,FALSE)),"")</f>
        <v/>
      </c>
      <c r="M190" s="9" t="str">
        <f>IFERROR(IF(J190="","",VLOOKUP(J190,Lists!$K$2:$O$61,3,FALSE)),"")</f>
        <v/>
      </c>
      <c r="N190" s="10"/>
      <c r="O190" s="10"/>
      <c r="P190" s="6"/>
      <c r="Q190" s="10"/>
      <c r="R190" s="6"/>
    </row>
    <row r="191" spans="1:18" x14ac:dyDescent="0.25">
      <c r="A191" s="8"/>
      <c r="B191" s="9" t="str">
        <f>IF(A191="","","W"&amp;(INT((A191-Lists!$B$2)/7)+1))</f>
        <v/>
      </c>
      <c r="C191" s="10"/>
      <c r="D191" s="10"/>
      <c r="E191" s="9" t="str">
        <f t="shared" si="2"/>
        <v/>
      </c>
      <c r="F191" s="11"/>
      <c r="G191" s="10"/>
      <c r="H191" s="10"/>
      <c r="I191" s="10"/>
      <c r="J191" s="10"/>
      <c r="K191" s="12" t="str">
        <f>IFERROR(IF(J191="","",VLOOKUP(J191,Lists!$K$2:$O$61,5,FALSE)),"")</f>
        <v/>
      </c>
      <c r="L191" s="9" t="str">
        <f>IFERROR(IF(J191="","",VLOOKUP(J191,Lists!$K$2:$O$61,2,FALSE)),"")</f>
        <v/>
      </c>
      <c r="M191" s="9" t="str">
        <f>IFERROR(IF(J191="","",VLOOKUP(J191,Lists!$K$2:$O$61,3,FALSE)),"")</f>
        <v/>
      </c>
      <c r="N191" s="10"/>
      <c r="O191" s="10"/>
      <c r="P191" s="6"/>
      <c r="Q191" s="10"/>
      <c r="R191" s="6"/>
    </row>
    <row r="192" spans="1:18" x14ac:dyDescent="0.25">
      <c r="A192" s="8"/>
      <c r="B192" s="9" t="str">
        <f>IF(A192="","","W"&amp;(INT((A192-Lists!$B$2)/7)+1))</f>
        <v/>
      </c>
      <c r="C192" s="10"/>
      <c r="D192" s="10"/>
      <c r="E192" s="9" t="str">
        <f t="shared" si="2"/>
        <v/>
      </c>
      <c r="F192" s="11"/>
      <c r="G192" s="10"/>
      <c r="H192" s="10"/>
      <c r="I192" s="10"/>
      <c r="J192" s="10"/>
      <c r="K192" s="12" t="str">
        <f>IFERROR(IF(J192="","",VLOOKUP(J192,Lists!$K$2:$O$61,5,FALSE)),"")</f>
        <v/>
      </c>
      <c r="L192" s="9" t="str">
        <f>IFERROR(IF(J192="","",VLOOKUP(J192,Lists!$K$2:$O$61,2,FALSE)),"")</f>
        <v/>
      </c>
      <c r="M192" s="9" t="str">
        <f>IFERROR(IF(J192="","",VLOOKUP(J192,Lists!$K$2:$O$61,3,FALSE)),"")</f>
        <v/>
      </c>
      <c r="N192" s="10"/>
      <c r="O192" s="10"/>
      <c r="P192" s="6"/>
      <c r="Q192" s="10"/>
      <c r="R192" s="6"/>
    </row>
    <row r="193" spans="1:18" x14ac:dyDescent="0.25">
      <c r="A193" s="8"/>
      <c r="B193" s="9" t="str">
        <f>IF(A193="","","W"&amp;(INT((A193-Lists!$B$2)/7)+1))</f>
        <v/>
      </c>
      <c r="C193" s="10"/>
      <c r="D193" s="10"/>
      <c r="E193" s="9" t="str">
        <f t="shared" si="2"/>
        <v/>
      </c>
      <c r="F193" s="11"/>
      <c r="G193" s="10"/>
      <c r="H193" s="10"/>
      <c r="I193" s="10"/>
      <c r="J193" s="10"/>
      <c r="K193" s="12" t="str">
        <f>IFERROR(IF(J193="","",VLOOKUP(J193,Lists!$K$2:$O$61,5,FALSE)),"")</f>
        <v/>
      </c>
      <c r="L193" s="9" t="str">
        <f>IFERROR(IF(J193="","",VLOOKUP(J193,Lists!$K$2:$O$61,2,FALSE)),"")</f>
        <v/>
      </c>
      <c r="M193" s="9" t="str">
        <f>IFERROR(IF(J193="","",VLOOKUP(J193,Lists!$K$2:$O$61,3,FALSE)),"")</f>
        <v/>
      </c>
      <c r="N193" s="10"/>
      <c r="O193" s="10"/>
      <c r="P193" s="6"/>
      <c r="Q193" s="10"/>
      <c r="R193" s="6"/>
    </row>
    <row r="194" spans="1:18" x14ac:dyDescent="0.25">
      <c r="A194" s="8"/>
      <c r="B194" s="9" t="str">
        <f>IF(A194="","","W"&amp;(INT((A194-Lists!$B$2)/7)+1))</f>
        <v/>
      </c>
      <c r="C194" s="10"/>
      <c r="D194" s="10"/>
      <c r="E194" s="9" t="str">
        <f t="shared" ref="E194:E257" si="3">IF(OR(C194="",D194=""),"",IF(C194=D194,"SELF-REVIEW","OK"))</f>
        <v/>
      </c>
      <c r="F194" s="11"/>
      <c r="G194" s="10"/>
      <c r="H194" s="10"/>
      <c r="I194" s="10"/>
      <c r="J194" s="10"/>
      <c r="K194" s="12" t="str">
        <f>IFERROR(IF(J194="","",VLOOKUP(J194,Lists!$K$2:$O$61,5,FALSE)),"")</f>
        <v/>
      </c>
      <c r="L194" s="9" t="str">
        <f>IFERROR(IF(J194="","",VLOOKUP(J194,Lists!$K$2:$O$61,2,FALSE)),"")</f>
        <v/>
      </c>
      <c r="M194" s="9" t="str">
        <f>IFERROR(IF(J194="","",VLOOKUP(J194,Lists!$K$2:$O$61,3,FALSE)),"")</f>
        <v/>
      </c>
      <c r="N194" s="10"/>
      <c r="O194" s="10"/>
      <c r="P194" s="6"/>
      <c r="Q194" s="10"/>
      <c r="R194" s="6"/>
    </row>
    <row r="195" spans="1:18" x14ac:dyDescent="0.25">
      <c r="A195" s="8"/>
      <c r="B195" s="9" t="str">
        <f>IF(A195="","","W"&amp;(INT((A195-Lists!$B$2)/7)+1))</f>
        <v/>
      </c>
      <c r="C195" s="10"/>
      <c r="D195" s="10"/>
      <c r="E195" s="9" t="str">
        <f t="shared" si="3"/>
        <v/>
      </c>
      <c r="F195" s="11"/>
      <c r="G195" s="10"/>
      <c r="H195" s="10"/>
      <c r="I195" s="10"/>
      <c r="J195" s="10"/>
      <c r="K195" s="12" t="str">
        <f>IFERROR(IF(J195="","",VLOOKUP(J195,Lists!$K$2:$O$61,5,FALSE)),"")</f>
        <v/>
      </c>
      <c r="L195" s="9" t="str">
        <f>IFERROR(IF(J195="","",VLOOKUP(J195,Lists!$K$2:$O$61,2,FALSE)),"")</f>
        <v/>
      </c>
      <c r="M195" s="9" t="str">
        <f>IFERROR(IF(J195="","",VLOOKUP(J195,Lists!$K$2:$O$61,3,FALSE)),"")</f>
        <v/>
      </c>
      <c r="N195" s="10"/>
      <c r="O195" s="10"/>
      <c r="P195" s="6"/>
      <c r="Q195" s="10"/>
      <c r="R195" s="6"/>
    </row>
    <row r="196" spans="1:18" x14ac:dyDescent="0.25">
      <c r="A196" s="8"/>
      <c r="B196" s="9" t="str">
        <f>IF(A196="","","W"&amp;(INT((A196-Lists!$B$2)/7)+1))</f>
        <v/>
      </c>
      <c r="C196" s="10"/>
      <c r="D196" s="10"/>
      <c r="E196" s="9" t="str">
        <f t="shared" si="3"/>
        <v/>
      </c>
      <c r="F196" s="11"/>
      <c r="G196" s="10"/>
      <c r="H196" s="10"/>
      <c r="I196" s="10"/>
      <c r="J196" s="10"/>
      <c r="K196" s="12" t="str">
        <f>IFERROR(IF(J196="","",VLOOKUP(J196,Lists!$K$2:$O$61,5,FALSE)),"")</f>
        <v/>
      </c>
      <c r="L196" s="9" t="str">
        <f>IFERROR(IF(J196="","",VLOOKUP(J196,Lists!$K$2:$O$61,2,FALSE)),"")</f>
        <v/>
      </c>
      <c r="M196" s="9" t="str">
        <f>IFERROR(IF(J196="","",VLOOKUP(J196,Lists!$K$2:$O$61,3,FALSE)),"")</f>
        <v/>
      </c>
      <c r="N196" s="10"/>
      <c r="O196" s="10"/>
      <c r="P196" s="6"/>
      <c r="Q196" s="10"/>
      <c r="R196" s="6"/>
    </row>
    <row r="197" spans="1:18" x14ac:dyDescent="0.25">
      <c r="A197" s="8"/>
      <c r="B197" s="9" t="str">
        <f>IF(A197="","","W"&amp;(INT((A197-Lists!$B$2)/7)+1))</f>
        <v/>
      </c>
      <c r="C197" s="10"/>
      <c r="D197" s="10"/>
      <c r="E197" s="9" t="str">
        <f t="shared" si="3"/>
        <v/>
      </c>
      <c r="F197" s="11"/>
      <c r="G197" s="10"/>
      <c r="H197" s="10"/>
      <c r="I197" s="10"/>
      <c r="J197" s="10"/>
      <c r="K197" s="12" t="str">
        <f>IFERROR(IF(J197="","",VLOOKUP(J197,Lists!$K$2:$O$61,5,FALSE)),"")</f>
        <v/>
      </c>
      <c r="L197" s="9" t="str">
        <f>IFERROR(IF(J197="","",VLOOKUP(J197,Lists!$K$2:$O$61,2,FALSE)),"")</f>
        <v/>
      </c>
      <c r="M197" s="9" t="str">
        <f>IFERROR(IF(J197="","",VLOOKUP(J197,Lists!$K$2:$O$61,3,FALSE)),"")</f>
        <v/>
      </c>
      <c r="N197" s="10"/>
      <c r="O197" s="10"/>
      <c r="P197" s="6"/>
      <c r="Q197" s="10"/>
      <c r="R197" s="6"/>
    </row>
    <row r="198" spans="1:18" x14ac:dyDescent="0.25">
      <c r="A198" s="8"/>
      <c r="B198" s="9" t="str">
        <f>IF(A198="","","W"&amp;(INT((A198-Lists!$B$2)/7)+1))</f>
        <v/>
      </c>
      <c r="C198" s="10"/>
      <c r="D198" s="10"/>
      <c r="E198" s="9" t="str">
        <f t="shared" si="3"/>
        <v/>
      </c>
      <c r="F198" s="11"/>
      <c r="G198" s="10"/>
      <c r="H198" s="10"/>
      <c r="I198" s="10"/>
      <c r="J198" s="10"/>
      <c r="K198" s="12" t="str">
        <f>IFERROR(IF(J198="","",VLOOKUP(J198,Lists!$K$2:$O$61,5,FALSE)),"")</f>
        <v/>
      </c>
      <c r="L198" s="9" t="str">
        <f>IFERROR(IF(J198="","",VLOOKUP(J198,Lists!$K$2:$O$61,2,FALSE)),"")</f>
        <v/>
      </c>
      <c r="M198" s="9" t="str">
        <f>IFERROR(IF(J198="","",VLOOKUP(J198,Lists!$K$2:$O$61,3,FALSE)),"")</f>
        <v/>
      </c>
      <c r="N198" s="10"/>
      <c r="O198" s="10"/>
      <c r="P198" s="6"/>
      <c r="Q198" s="10"/>
      <c r="R198" s="6"/>
    </row>
    <row r="199" spans="1:18" x14ac:dyDescent="0.25">
      <c r="A199" s="8"/>
      <c r="B199" s="9" t="str">
        <f>IF(A199="","","W"&amp;(INT((A199-Lists!$B$2)/7)+1))</f>
        <v/>
      </c>
      <c r="C199" s="10"/>
      <c r="D199" s="10"/>
      <c r="E199" s="9" t="str">
        <f t="shared" si="3"/>
        <v/>
      </c>
      <c r="F199" s="11"/>
      <c r="G199" s="10"/>
      <c r="H199" s="10"/>
      <c r="I199" s="10"/>
      <c r="J199" s="10"/>
      <c r="K199" s="12" t="str">
        <f>IFERROR(IF(J199="","",VLOOKUP(J199,Lists!$K$2:$O$61,5,FALSE)),"")</f>
        <v/>
      </c>
      <c r="L199" s="9" t="str">
        <f>IFERROR(IF(J199="","",VLOOKUP(J199,Lists!$K$2:$O$61,2,FALSE)),"")</f>
        <v/>
      </c>
      <c r="M199" s="9" t="str">
        <f>IFERROR(IF(J199="","",VLOOKUP(J199,Lists!$K$2:$O$61,3,FALSE)),"")</f>
        <v/>
      </c>
      <c r="N199" s="10"/>
      <c r="O199" s="10"/>
      <c r="P199" s="6"/>
      <c r="Q199" s="10"/>
      <c r="R199" s="6"/>
    </row>
    <row r="200" spans="1:18" x14ac:dyDescent="0.25">
      <c r="A200" s="8"/>
      <c r="B200" s="9" t="str">
        <f>IF(A200="","","W"&amp;(INT((A200-Lists!$B$2)/7)+1))</f>
        <v/>
      </c>
      <c r="C200" s="10"/>
      <c r="D200" s="10"/>
      <c r="E200" s="9" t="str">
        <f t="shared" si="3"/>
        <v/>
      </c>
      <c r="F200" s="11"/>
      <c r="G200" s="10"/>
      <c r="H200" s="10"/>
      <c r="I200" s="10"/>
      <c r="J200" s="10"/>
      <c r="K200" s="12" t="str">
        <f>IFERROR(IF(J200="","",VLOOKUP(J200,Lists!$K$2:$O$61,5,FALSE)),"")</f>
        <v/>
      </c>
      <c r="L200" s="9" t="str">
        <f>IFERROR(IF(J200="","",VLOOKUP(J200,Lists!$K$2:$O$61,2,FALSE)),"")</f>
        <v/>
      </c>
      <c r="M200" s="9" t="str">
        <f>IFERROR(IF(J200="","",VLOOKUP(J200,Lists!$K$2:$O$61,3,FALSE)),"")</f>
        <v/>
      </c>
      <c r="N200" s="10"/>
      <c r="O200" s="10"/>
      <c r="P200" s="6"/>
      <c r="Q200" s="10"/>
      <c r="R200" s="6"/>
    </row>
    <row r="201" spans="1:18" x14ac:dyDescent="0.25">
      <c r="A201" s="8"/>
      <c r="B201" s="9" t="str">
        <f>IF(A201="","","W"&amp;(INT((A201-Lists!$B$2)/7)+1))</f>
        <v/>
      </c>
      <c r="C201" s="10"/>
      <c r="D201" s="10"/>
      <c r="E201" s="9" t="str">
        <f t="shared" si="3"/>
        <v/>
      </c>
      <c r="F201" s="11"/>
      <c r="G201" s="10"/>
      <c r="H201" s="10"/>
      <c r="I201" s="10"/>
      <c r="J201" s="10"/>
      <c r="K201" s="12" t="str">
        <f>IFERROR(IF(J201="","",VLOOKUP(J201,Lists!$K$2:$O$61,5,FALSE)),"")</f>
        <v/>
      </c>
      <c r="L201" s="9" t="str">
        <f>IFERROR(IF(J201="","",VLOOKUP(J201,Lists!$K$2:$O$61,2,FALSE)),"")</f>
        <v/>
      </c>
      <c r="M201" s="9" t="str">
        <f>IFERROR(IF(J201="","",VLOOKUP(J201,Lists!$K$2:$O$61,3,FALSE)),"")</f>
        <v/>
      </c>
      <c r="N201" s="10"/>
      <c r="O201" s="10"/>
      <c r="P201" s="6"/>
      <c r="Q201" s="10"/>
      <c r="R201" s="6"/>
    </row>
    <row r="202" spans="1:18" x14ac:dyDescent="0.25">
      <c r="A202" s="8"/>
      <c r="B202" s="9" t="str">
        <f>IF(A202="","","W"&amp;(INT((A202-Lists!$B$2)/7)+1))</f>
        <v/>
      </c>
      <c r="C202" s="10"/>
      <c r="D202" s="10"/>
      <c r="E202" s="9" t="str">
        <f t="shared" si="3"/>
        <v/>
      </c>
      <c r="F202" s="11"/>
      <c r="G202" s="10"/>
      <c r="H202" s="10"/>
      <c r="I202" s="10"/>
      <c r="J202" s="10"/>
      <c r="K202" s="12" t="str">
        <f>IFERROR(IF(J202="","",VLOOKUP(J202,Lists!$K$2:$O$61,5,FALSE)),"")</f>
        <v/>
      </c>
      <c r="L202" s="9" t="str">
        <f>IFERROR(IF(J202="","",VLOOKUP(J202,Lists!$K$2:$O$61,2,FALSE)),"")</f>
        <v/>
      </c>
      <c r="M202" s="9" t="str">
        <f>IFERROR(IF(J202="","",VLOOKUP(J202,Lists!$K$2:$O$61,3,FALSE)),"")</f>
        <v/>
      </c>
      <c r="N202" s="10"/>
      <c r="O202" s="10"/>
      <c r="P202" s="6"/>
      <c r="Q202" s="10"/>
      <c r="R202" s="6"/>
    </row>
    <row r="203" spans="1:18" x14ac:dyDescent="0.25">
      <c r="A203" s="8"/>
      <c r="B203" s="9" t="str">
        <f>IF(A203="","","W"&amp;(INT((A203-Lists!$B$2)/7)+1))</f>
        <v/>
      </c>
      <c r="C203" s="10"/>
      <c r="D203" s="10"/>
      <c r="E203" s="9" t="str">
        <f t="shared" si="3"/>
        <v/>
      </c>
      <c r="F203" s="11"/>
      <c r="G203" s="10"/>
      <c r="H203" s="10"/>
      <c r="I203" s="10"/>
      <c r="J203" s="10"/>
      <c r="K203" s="12" t="str">
        <f>IFERROR(IF(J203="","",VLOOKUP(J203,Lists!$K$2:$O$61,5,FALSE)),"")</f>
        <v/>
      </c>
      <c r="L203" s="9" t="str">
        <f>IFERROR(IF(J203="","",VLOOKUP(J203,Lists!$K$2:$O$61,2,FALSE)),"")</f>
        <v/>
      </c>
      <c r="M203" s="9" t="str">
        <f>IFERROR(IF(J203="","",VLOOKUP(J203,Lists!$K$2:$O$61,3,FALSE)),"")</f>
        <v/>
      </c>
      <c r="N203" s="10"/>
      <c r="O203" s="10"/>
      <c r="P203" s="6"/>
      <c r="Q203" s="10"/>
      <c r="R203" s="6"/>
    </row>
    <row r="204" spans="1:18" x14ac:dyDescent="0.25">
      <c r="A204" s="8"/>
      <c r="B204" s="9" t="str">
        <f>IF(A204="","","W"&amp;(INT((A204-Lists!$B$2)/7)+1))</f>
        <v/>
      </c>
      <c r="C204" s="10"/>
      <c r="D204" s="10"/>
      <c r="E204" s="9" t="str">
        <f t="shared" si="3"/>
        <v/>
      </c>
      <c r="F204" s="11"/>
      <c r="G204" s="10"/>
      <c r="H204" s="10"/>
      <c r="I204" s="10"/>
      <c r="J204" s="10"/>
      <c r="K204" s="12" t="str">
        <f>IFERROR(IF(J204="","",VLOOKUP(J204,Lists!$K$2:$O$61,5,FALSE)),"")</f>
        <v/>
      </c>
      <c r="L204" s="9" t="str">
        <f>IFERROR(IF(J204="","",VLOOKUP(J204,Lists!$K$2:$O$61,2,FALSE)),"")</f>
        <v/>
      </c>
      <c r="M204" s="9" t="str">
        <f>IFERROR(IF(J204="","",VLOOKUP(J204,Lists!$K$2:$O$61,3,FALSE)),"")</f>
        <v/>
      </c>
      <c r="N204" s="10"/>
      <c r="O204" s="10"/>
      <c r="P204" s="6"/>
      <c r="Q204" s="10"/>
      <c r="R204" s="6"/>
    </row>
    <row r="205" spans="1:18" x14ac:dyDescent="0.25">
      <c r="A205" s="8"/>
      <c r="B205" s="9" t="str">
        <f>IF(A205="","","W"&amp;(INT((A205-Lists!$B$2)/7)+1))</f>
        <v/>
      </c>
      <c r="C205" s="10"/>
      <c r="D205" s="10"/>
      <c r="E205" s="9" t="str">
        <f t="shared" si="3"/>
        <v/>
      </c>
      <c r="F205" s="11"/>
      <c r="G205" s="10"/>
      <c r="H205" s="10"/>
      <c r="I205" s="10"/>
      <c r="J205" s="10"/>
      <c r="K205" s="12" t="str">
        <f>IFERROR(IF(J205="","",VLOOKUP(J205,Lists!$K$2:$O$61,5,FALSE)),"")</f>
        <v/>
      </c>
      <c r="L205" s="9" t="str">
        <f>IFERROR(IF(J205="","",VLOOKUP(J205,Lists!$K$2:$O$61,2,FALSE)),"")</f>
        <v/>
      </c>
      <c r="M205" s="9" t="str">
        <f>IFERROR(IF(J205="","",VLOOKUP(J205,Lists!$K$2:$O$61,3,FALSE)),"")</f>
        <v/>
      </c>
      <c r="N205" s="10"/>
      <c r="O205" s="10"/>
      <c r="P205" s="6"/>
      <c r="Q205" s="10"/>
      <c r="R205" s="6"/>
    </row>
    <row r="206" spans="1:18" x14ac:dyDescent="0.25">
      <c r="A206" s="8"/>
      <c r="B206" s="9" t="str">
        <f>IF(A206="","","W"&amp;(INT((A206-Lists!$B$2)/7)+1))</f>
        <v/>
      </c>
      <c r="C206" s="10"/>
      <c r="D206" s="10"/>
      <c r="E206" s="9" t="str">
        <f t="shared" si="3"/>
        <v/>
      </c>
      <c r="F206" s="11"/>
      <c r="G206" s="10"/>
      <c r="H206" s="10"/>
      <c r="I206" s="10"/>
      <c r="J206" s="10"/>
      <c r="K206" s="12" t="str">
        <f>IFERROR(IF(J206="","",VLOOKUP(J206,Lists!$K$2:$O$61,5,FALSE)),"")</f>
        <v/>
      </c>
      <c r="L206" s="9" t="str">
        <f>IFERROR(IF(J206="","",VLOOKUP(J206,Lists!$K$2:$O$61,2,FALSE)),"")</f>
        <v/>
      </c>
      <c r="M206" s="9" t="str">
        <f>IFERROR(IF(J206="","",VLOOKUP(J206,Lists!$K$2:$O$61,3,FALSE)),"")</f>
        <v/>
      </c>
      <c r="N206" s="10"/>
      <c r="O206" s="10"/>
      <c r="P206" s="6"/>
      <c r="Q206" s="10"/>
      <c r="R206" s="6"/>
    </row>
    <row r="207" spans="1:18" x14ac:dyDescent="0.25">
      <c r="A207" s="8"/>
      <c r="B207" s="9" t="str">
        <f>IF(A207="","","W"&amp;(INT((A207-Lists!$B$2)/7)+1))</f>
        <v/>
      </c>
      <c r="C207" s="10"/>
      <c r="D207" s="10"/>
      <c r="E207" s="9" t="str">
        <f t="shared" si="3"/>
        <v/>
      </c>
      <c r="F207" s="11"/>
      <c r="G207" s="10"/>
      <c r="H207" s="10"/>
      <c r="I207" s="10"/>
      <c r="J207" s="10"/>
      <c r="K207" s="12" t="str">
        <f>IFERROR(IF(J207="","",VLOOKUP(J207,Lists!$K$2:$O$61,5,FALSE)),"")</f>
        <v/>
      </c>
      <c r="L207" s="9" t="str">
        <f>IFERROR(IF(J207="","",VLOOKUP(J207,Lists!$K$2:$O$61,2,FALSE)),"")</f>
        <v/>
      </c>
      <c r="M207" s="9" t="str">
        <f>IFERROR(IF(J207="","",VLOOKUP(J207,Lists!$K$2:$O$61,3,FALSE)),"")</f>
        <v/>
      </c>
      <c r="N207" s="10"/>
      <c r="O207" s="10"/>
      <c r="P207" s="6"/>
      <c r="Q207" s="10"/>
      <c r="R207" s="6"/>
    </row>
    <row r="208" spans="1:18" x14ac:dyDescent="0.25">
      <c r="A208" s="8"/>
      <c r="B208" s="9" t="str">
        <f>IF(A208="","","W"&amp;(INT((A208-Lists!$B$2)/7)+1))</f>
        <v/>
      </c>
      <c r="C208" s="10"/>
      <c r="D208" s="10"/>
      <c r="E208" s="9" t="str">
        <f t="shared" si="3"/>
        <v/>
      </c>
      <c r="F208" s="11"/>
      <c r="G208" s="10"/>
      <c r="H208" s="10"/>
      <c r="I208" s="10"/>
      <c r="J208" s="10"/>
      <c r="K208" s="12" t="str">
        <f>IFERROR(IF(J208="","",VLOOKUP(J208,Lists!$K$2:$O$61,5,FALSE)),"")</f>
        <v/>
      </c>
      <c r="L208" s="9" t="str">
        <f>IFERROR(IF(J208="","",VLOOKUP(J208,Lists!$K$2:$O$61,2,FALSE)),"")</f>
        <v/>
      </c>
      <c r="M208" s="9" t="str">
        <f>IFERROR(IF(J208="","",VLOOKUP(J208,Lists!$K$2:$O$61,3,FALSE)),"")</f>
        <v/>
      </c>
      <c r="N208" s="10"/>
      <c r="O208" s="10"/>
      <c r="P208" s="6"/>
      <c r="Q208" s="10"/>
      <c r="R208" s="6"/>
    </row>
    <row r="209" spans="1:18" x14ac:dyDescent="0.25">
      <c r="A209" s="8"/>
      <c r="B209" s="9" t="str">
        <f>IF(A209="","","W"&amp;(INT((A209-Lists!$B$2)/7)+1))</f>
        <v/>
      </c>
      <c r="C209" s="10"/>
      <c r="D209" s="10"/>
      <c r="E209" s="9" t="str">
        <f t="shared" si="3"/>
        <v/>
      </c>
      <c r="F209" s="11"/>
      <c r="G209" s="10"/>
      <c r="H209" s="10"/>
      <c r="I209" s="10"/>
      <c r="J209" s="10"/>
      <c r="K209" s="12" t="str">
        <f>IFERROR(IF(J209="","",VLOOKUP(J209,Lists!$K$2:$O$61,5,FALSE)),"")</f>
        <v/>
      </c>
      <c r="L209" s="9" t="str">
        <f>IFERROR(IF(J209="","",VLOOKUP(J209,Lists!$K$2:$O$61,2,FALSE)),"")</f>
        <v/>
      </c>
      <c r="M209" s="9" t="str">
        <f>IFERROR(IF(J209="","",VLOOKUP(J209,Lists!$K$2:$O$61,3,FALSE)),"")</f>
        <v/>
      </c>
      <c r="N209" s="10"/>
      <c r="O209" s="10"/>
      <c r="P209" s="6"/>
      <c r="Q209" s="10"/>
      <c r="R209" s="6"/>
    </row>
    <row r="210" spans="1:18" x14ac:dyDescent="0.25">
      <c r="A210" s="8"/>
      <c r="B210" s="9" t="str">
        <f>IF(A210="","","W"&amp;(INT((A210-Lists!$B$2)/7)+1))</f>
        <v/>
      </c>
      <c r="C210" s="10"/>
      <c r="D210" s="10"/>
      <c r="E210" s="9" t="str">
        <f t="shared" si="3"/>
        <v/>
      </c>
      <c r="F210" s="11"/>
      <c r="G210" s="10"/>
      <c r="H210" s="10"/>
      <c r="I210" s="10"/>
      <c r="J210" s="10"/>
      <c r="K210" s="12" t="str">
        <f>IFERROR(IF(J210="","",VLOOKUP(J210,Lists!$K$2:$O$61,5,FALSE)),"")</f>
        <v/>
      </c>
      <c r="L210" s="9" t="str">
        <f>IFERROR(IF(J210="","",VLOOKUP(J210,Lists!$K$2:$O$61,2,FALSE)),"")</f>
        <v/>
      </c>
      <c r="M210" s="9" t="str">
        <f>IFERROR(IF(J210="","",VLOOKUP(J210,Lists!$K$2:$O$61,3,FALSE)),"")</f>
        <v/>
      </c>
      <c r="N210" s="10"/>
      <c r="O210" s="10"/>
      <c r="P210" s="6"/>
      <c r="Q210" s="10"/>
      <c r="R210" s="6"/>
    </row>
    <row r="211" spans="1:18" x14ac:dyDescent="0.25">
      <c r="A211" s="8"/>
      <c r="B211" s="9" t="str">
        <f>IF(A211="","","W"&amp;(INT((A211-Lists!$B$2)/7)+1))</f>
        <v/>
      </c>
      <c r="C211" s="10"/>
      <c r="D211" s="10"/>
      <c r="E211" s="9" t="str">
        <f t="shared" si="3"/>
        <v/>
      </c>
      <c r="F211" s="11"/>
      <c r="G211" s="10"/>
      <c r="H211" s="10"/>
      <c r="I211" s="10"/>
      <c r="J211" s="10"/>
      <c r="K211" s="12" t="str">
        <f>IFERROR(IF(J211="","",VLOOKUP(J211,Lists!$K$2:$O$61,5,FALSE)),"")</f>
        <v/>
      </c>
      <c r="L211" s="9" t="str">
        <f>IFERROR(IF(J211="","",VLOOKUP(J211,Lists!$K$2:$O$61,2,FALSE)),"")</f>
        <v/>
      </c>
      <c r="M211" s="9" t="str">
        <f>IFERROR(IF(J211="","",VLOOKUP(J211,Lists!$K$2:$O$61,3,FALSE)),"")</f>
        <v/>
      </c>
      <c r="N211" s="10"/>
      <c r="O211" s="10"/>
      <c r="P211" s="6"/>
      <c r="Q211" s="10"/>
      <c r="R211" s="6"/>
    </row>
    <row r="212" spans="1:18" x14ac:dyDescent="0.25">
      <c r="A212" s="8"/>
      <c r="B212" s="9" t="str">
        <f>IF(A212="","","W"&amp;(INT((A212-Lists!$B$2)/7)+1))</f>
        <v/>
      </c>
      <c r="C212" s="10"/>
      <c r="D212" s="10"/>
      <c r="E212" s="9" t="str">
        <f t="shared" si="3"/>
        <v/>
      </c>
      <c r="F212" s="11"/>
      <c r="G212" s="10"/>
      <c r="H212" s="10"/>
      <c r="I212" s="10"/>
      <c r="J212" s="10"/>
      <c r="K212" s="12" t="str">
        <f>IFERROR(IF(J212="","",VLOOKUP(J212,Lists!$K$2:$O$61,5,FALSE)),"")</f>
        <v/>
      </c>
      <c r="L212" s="9" t="str">
        <f>IFERROR(IF(J212="","",VLOOKUP(J212,Lists!$K$2:$O$61,2,FALSE)),"")</f>
        <v/>
      </c>
      <c r="M212" s="9" t="str">
        <f>IFERROR(IF(J212="","",VLOOKUP(J212,Lists!$K$2:$O$61,3,FALSE)),"")</f>
        <v/>
      </c>
      <c r="N212" s="10"/>
      <c r="O212" s="10"/>
      <c r="P212" s="6"/>
      <c r="Q212" s="10"/>
      <c r="R212" s="6"/>
    </row>
    <row r="213" spans="1:18" x14ac:dyDescent="0.25">
      <c r="A213" s="8"/>
      <c r="B213" s="9" t="str">
        <f>IF(A213="","","W"&amp;(INT((A213-Lists!$B$2)/7)+1))</f>
        <v/>
      </c>
      <c r="C213" s="10"/>
      <c r="D213" s="10"/>
      <c r="E213" s="9" t="str">
        <f t="shared" si="3"/>
        <v/>
      </c>
      <c r="F213" s="11"/>
      <c r="G213" s="10"/>
      <c r="H213" s="10"/>
      <c r="I213" s="10"/>
      <c r="J213" s="10"/>
      <c r="K213" s="12" t="str">
        <f>IFERROR(IF(J213="","",VLOOKUP(J213,Lists!$K$2:$O$61,5,FALSE)),"")</f>
        <v/>
      </c>
      <c r="L213" s="9" t="str">
        <f>IFERROR(IF(J213="","",VLOOKUP(J213,Lists!$K$2:$O$61,2,FALSE)),"")</f>
        <v/>
      </c>
      <c r="M213" s="9" t="str">
        <f>IFERROR(IF(J213="","",VLOOKUP(J213,Lists!$K$2:$O$61,3,FALSE)),"")</f>
        <v/>
      </c>
      <c r="N213" s="10"/>
      <c r="O213" s="10"/>
      <c r="P213" s="6"/>
      <c r="Q213" s="10"/>
      <c r="R213" s="6"/>
    </row>
    <row r="214" spans="1:18" x14ac:dyDescent="0.25">
      <c r="A214" s="8"/>
      <c r="B214" s="9" t="str">
        <f>IF(A214="","","W"&amp;(INT((A214-Lists!$B$2)/7)+1))</f>
        <v/>
      </c>
      <c r="C214" s="10"/>
      <c r="D214" s="10"/>
      <c r="E214" s="9" t="str">
        <f t="shared" si="3"/>
        <v/>
      </c>
      <c r="F214" s="11"/>
      <c r="G214" s="10"/>
      <c r="H214" s="10"/>
      <c r="I214" s="10"/>
      <c r="J214" s="10"/>
      <c r="K214" s="12" t="str">
        <f>IFERROR(IF(J214="","",VLOOKUP(J214,Lists!$K$2:$O$61,5,FALSE)),"")</f>
        <v/>
      </c>
      <c r="L214" s="9" t="str">
        <f>IFERROR(IF(J214="","",VLOOKUP(J214,Lists!$K$2:$O$61,2,FALSE)),"")</f>
        <v/>
      </c>
      <c r="M214" s="9" t="str">
        <f>IFERROR(IF(J214="","",VLOOKUP(J214,Lists!$K$2:$O$61,3,FALSE)),"")</f>
        <v/>
      </c>
      <c r="N214" s="10"/>
      <c r="O214" s="10"/>
      <c r="P214" s="6"/>
      <c r="Q214" s="10"/>
      <c r="R214" s="6"/>
    </row>
    <row r="215" spans="1:18" x14ac:dyDescent="0.25">
      <c r="A215" s="8"/>
      <c r="B215" s="9" t="str">
        <f>IF(A215="","","W"&amp;(INT((A215-Lists!$B$2)/7)+1))</f>
        <v/>
      </c>
      <c r="C215" s="10"/>
      <c r="D215" s="10"/>
      <c r="E215" s="9" t="str">
        <f t="shared" si="3"/>
        <v/>
      </c>
      <c r="F215" s="11"/>
      <c r="G215" s="10"/>
      <c r="H215" s="10"/>
      <c r="I215" s="10"/>
      <c r="J215" s="10"/>
      <c r="K215" s="12" t="str">
        <f>IFERROR(IF(J215="","",VLOOKUP(J215,Lists!$K$2:$O$61,5,FALSE)),"")</f>
        <v/>
      </c>
      <c r="L215" s="9" t="str">
        <f>IFERROR(IF(J215="","",VLOOKUP(J215,Lists!$K$2:$O$61,2,FALSE)),"")</f>
        <v/>
      </c>
      <c r="M215" s="9" t="str">
        <f>IFERROR(IF(J215="","",VLOOKUP(J215,Lists!$K$2:$O$61,3,FALSE)),"")</f>
        <v/>
      </c>
      <c r="N215" s="10"/>
      <c r="O215" s="10"/>
      <c r="P215" s="6"/>
      <c r="Q215" s="10"/>
      <c r="R215" s="6"/>
    </row>
    <row r="216" spans="1:18" x14ac:dyDescent="0.25">
      <c r="A216" s="8"/>
      <c r="B216" s="9" t="str">
        <f>IF(A216="","","W"&amp;(INT((A216-Lists!$B$2)/7)+1))</f>
        <v/>
      </c>
      <c r="C216" s="10"/>
      <c r="D216" s="10"/>
      <c r="E216" s="9" t="str">
        <f t="shared" si="3"/>
        <v/>
      </c>
      <c r="F216" s="11"/>
      <c r="G216" s="10"/>
      <c r="H216" s="10"/>
      <c r="I216" s="10"/>
      <c r="J216" s="10"/>
      <c r="K216" s="12" t="str">
        <f>IFERROR(IF(J216="","",VLOOKUP(J216,Lists!$K$2:$O$61,5,FALSE)),"")</f>
        <v/>
      </c>
      <c r="L216" s="9" t="str">
        <f>IFERROR(IF(J216="","",VLOOKUP(J216,Lists!$K$2:$O$61,2,FALSE)),"")</f>
        <v/>
      </c>
      <c r="M216" s="9" t="str">
        <f>IFERROR(IF(J216="","",VLOOKUP(J216,Lists!$K$2:$O$61,3,FALSE)),"")</f>
        <v/>
      </c>
      <c r="N216" s="10"/>
      <c r="O216" s="10"/>
      <c r="P216" s="6"/>
      <c r="Q216" s="10"/>
      <c r="R216" s="6"/>
    </row>
    <row r="217" spans="1:18" x14ac:dyDescent="0.25">
      <c r="A217" s="8"/>
      <c r="B217" s="9" t="str">
        <f>IF(A217="","","W"&amp;(INT((A217-Lists!$B$2)/7)+1))</f>
        <v/>
      </c>
      <c r="C217" s="10"/>
      <c r="D217" s="10"/>
      <c r="E217" s="9" t="str">
        <f t="shared" si="3"/>
        <v/>
      </c>
      <c r="F217" s="11"/>
      <c r="G217" s="10"/>
      <c r="H217" s="10"/>
      <c r="I217" s="10"/>
      <c r="J217" s="10"/>
      <c r="K217" s="12" t="str">
        <f>IFERROR(IF(J217="","",VLOOKUP(J217,Lists!$K$2:$O$61,5,FALSE)),"")</f>
        <v/>
      </c>
      <c r="L217" s="9" t="str">
        <f>IFERROR(IF(J217="","",VLOOKUP(J217,Lists!$K$2:$O$61,2,FALSE)),"")</f>
        <v/>
      </c>
      <c r="M217" s="9" t="str">
        <f>IFERROR(IF(J217="","",VLOOKUP(J217,Lists!$K$2:$O$61,3,FALSE)),"")</f>
        <v/>
      </c>
      <c r="N217" s="10"/>
      <c r="O217" s="10"/>
      <c r="P217" s="6"/>
      <c r="Q217" s="10"/>
      <c r="R217" s="6"/>
    </row>
    <row r="218" spans="1:18" x14ac:dyDescent="0.25">
      <c r="A218" s="8"/>
      <c r="B218" s="9" t="str">
        <f>IF(A218="","","W"&amp;(INT((A218-Lists!$B$2)/7)+1))</f>
        <v/>
      </c>
      <c r="C218" s="10"/>
      <c r="D218" s="10"/>
      <c r="E218" s="9" t="str">
        <f t="shared" si="3"/>
        <v/>
      </c>
      <c r="F218" s="11"/>
      <c r="G218" s="10"/>
      <c r="H218" s="10"/>
      <c r="I218" s="10"/>
      <c r="J218" s="10"/>
      <c r="K218" s="12" t="str">
        <f>IFERROR(IF(J218="","",VLOOKUP(J218,Lists!$K$2:$O$61,5,FALSE)),"")</f>
        <v/>
      </c>
      <c r="L218" s="9" t="str">
        <f>IFERROR(IF(J218="","",VLOOKUP(J218,Lists!$K$2:$O$61,2,FALSE)),"")</f>
        <v/>
      </c>
      <c r="M218" s="9" t="str">
        <f>IFERROR(IF(J218="","",VLOOKUP(J218,Lists!$K$2:$O$61,3,FALSE)),"")</f>
        <v/>
      </c>
      <c r="N218" s="10"/>
      <c r="O218" s="10"/>
      <c r="P218" s="6"/>
      <c r="Q218" s="10"/>
      <c r="R218" s="6"/>
    </row>
    <row r="219" spans="1:18" x14ac:dyDescent="0.25">
      <c r="A219" s="8"/>
      <c r="B219" s="9" t="str">
        <f>IF(A219="","","W"&amp;(INT((A219-Lists!$B$2)/7)+1))</f>
        <v/>
      </c>
      <c r="C219" s="10"/>
      <c r="D219" s="10"/>
      <c r="E219" s="9" t="str">
        <f t="shared" si="3"/>
        <v/>
      </c>
      <c r="F219" s="11"/>
      <c r="G219" s="10"/>
      <c r="H219" s="10"/>
      <c r="I219" s="10"/>
      <c r="J219" s="10"/>
      <c r="K219" s="12" t="str">
        <f>IFERROR(IF(J219="","",VLOOKUP(J219,Lists!$K$2:$O$61,5,FALSE)),"")</f>
        <v/>
      </c>
      <c r="L219" s="9" t="str">
        <f>IFERROR(IF(J219="","",VLOOKUP(J219,Lists!$K$2:$O$61,2,FALSE)),"")</f>
        <v/>
      </c>
      <c r="M219" s="9" t="str">
        <f>IFERROR(IF(J219="","",VLOOKUP(J219,Lists!$K$2:$O$61,3,FALSE)),"")</f>
        <v/>
      </c>
      <c r="N219" s="10"/>
      <c r="O219" s="10"/>
      <c r="P219" s="6"/>
      <c r="Q219" s="10"/>
      <c r="R219" s="6"/>
    </row>
    <row r="220" spans="1:18" x14ac:dyDescent="0.25">
      <c r="A220" s="8"/>
      <c r="B220" s="9" t="str">
        <f>IF(A220="","","W"&amp;(INT((A220-Lists!$B$2)/7)+1))</f>
        <v/>
      </c>
      <c r="C220" s="10"/>
      <c r="D220" s="10"/>
      <c r="E220" s="9" t="str">
        <f t="shared" si="3"/>
        <v/>
      </c>
      <c r="F220" s="11"/>
      <c r="G220" s="10"/>
      <c r="H220" s="10"/>
      <c r="I220" s="10"/>
      <c r="J220" s="10"/>
      <c r="K220" s="12" t="str">
        <f>IFERROR(IF(J220="","",VLOOKUP(J220,Lists!$K$2:$O$61,5,FALSE)),"")</f>
        <v/>
      </c>
      <c r="L220" s="9" t="str">
        <f>IFERROR(IF(J220="","",VLOOKUP(J220,Lists!$K$2:$O$61,2,FALSE)),"")</f>
        <v/>
      </c>
      <c r="M220" s="9" t="str">
        <f>IFERROR(IF(J220="","",VLOOKUP(J220,Lists!$K$2:$O$61,3,FALSE)),"")</f>
        <v/>
      </c>
      <c r="N220" s="10"/>
      <c r="O220" s="10"/>
      <c r="P220" s="6"/>
      <c r="Q220" s="10"/>
      <c r="R220" s="6"/>
    </row>
    <row r="221" spans="1:18" x14ac:dyDescent="0.25">
      <c r="A221" s="8"/>
      <c r="B221" s="9" t="str">
        <f>IF(A221="","","W"&amp;(INT((A221-Lists!$B$2)/7)+1))</f>
        <v/>
      </c>
      <c r="C221" s="10"/>
      <c r="D221" s="10"/>
      <c r="E221" s="9" t="str">
        <f t="shared" si="3"/>
        <v/>
      </c>
      <c r="F221" s="11"/>
      <c r="G221" s="10"/>
      <c r="H221" s="10"/>
      <c r="I221" s="10"/>
      <c r="J221" s="10"/>
      <c r="K221" s="12" t="str">
        <f>IFERROR(IF(J221="","",VLOOKUP(J221,Lists!$K$2:$O$61,5,FALSE)),"")</f>
        <v/>
      </c>
      <c r="L221" s="9" t="str">
        <f>IFERROR(IF(J221="","",VLOOKUP(J221,Lists!$K$2:$O$61,2,FALSE)),"")</f>
        <v/>
      </c>
      <c r="M221" s="9" t="str">
        <f>IFERROR(IF(J221="","",VLOOKUP(J221,Lists!$K$2:$O$61,3,FALSE)),"")</f>
        <v/>
      </c>
      <c r="N221" s="10"/>
      <c r="O221" s="10"/>
      <c r="P221" s="6"/>
      <c r="Q221" s="10"/>
      <c r="R221" s="6"/>
    </row>
    <row r="222" spans="1:18" x14ac:dyDescent="0.25">
      <c r="A222" s="8"/>
      <c r="B222" s="9" t="str">
        <f>IF(A222="","","W"&amp;(INT((A222-Lists!$B$2)/7)+1))</f>
        <v/>
      </c>
      <c r="C222" s="10"/>
      <c r="D222" s="10"/>
      <c r="E222" s="9" t="str">
        <f t="shared" si="3"/>
        <v/>
      </c>
      <c r="F222" s="11"/>
      <c r="G222" s="10"/>
      <c r="H222" s="10"/>
      <c r="I222" s="10"/>
      <c r="J222" s="10"/>
      <c r="K222" s="12" t="str">
        <f>IFERROR(IF(J222="","",VLOOKUP(J222,Lists!$K$2:$O$61,5,FALSE)),"")</f>
        <v/>
      </c>
      <c r="L222" s="9" t="str">
        <f>IFERROR(IF(J222="","",VLOOKUP(J222,Lists!$K$2:$O$61,2,FALSE)),"")</f>
        <v/>
      </c>
      <c r="M222" s="9" t="str">
        <f>IFERROR(IF(J222="","",VLOOKUP(J222,Lists!$K$2:$O$61,3,FALSE)),"")</f>
        <v/>
      </c>
      <c r="N222" s="10"/>
      <c r="O222" s="10"/>
      <c r="P222" s="6"/>
      <c r="Q222" s="10"/>
      <c r="R222" s="6"/>
    </row>
    <row r="223" spans="1:18" x14ac:dyDescent="0.25">
      <c r="A223" s="8"/>
      <c r="B223" s="9" t="str">
        <f>IF(A223="","","W"&amp;(INT((A223-Lists!$B$2)/7)+1))</f>
        <v/>
      </c>
      <c r="C223" s="10"/>
      <c r="D223" s="10"/>
      <c r="E223" s="9" t="str">
        <f t="shared" si="3"/>
        <v/>
      </c>
      <c r="F223" s="11"/>
      <c r="G223" s="10"/>
      <c r="H223" s="10"/>
      <c r="I223" s="10"/>
      <c r="J223" s="10"/>
      <c r="K223" s="12" t="str">
        <f>IFERROR(IF(J223="","",VLOOKUP(J223,Lists!$K$2:$O$61,5,FALSE)),"")</f>
        <v/>
      </c>
      <c r="L223" s="9" t="str">
        <f>IFERROR(IF(J223="","",VLOOKUP(J223,Lists!$K$2:$O$61,2,FALSE)),"")</f>
        <v/>
      </c>
      <c r="M223" s="9" t="str">
        <f>IFERROR(IF(J223="","",VLOOKUP(J223,Lists!$K$2:$O$61,3,FALSE)),"")</f>
        <v/>
      </c>
      <c r="N223" s="10"/>
      <c r="O223" s="10"/>
      <c r="P223" s="6"/>
      <c r="Q223" s="10"/>
      <c r="R223" s="6"/>
    </row>
    <row r="224" spans="1:18" x14ac:dyDescent="0.25">
      <c r="A224" s="8"/>
      <c r="B224" s="9" t="str">
        <f>IF(A224="","","W"&amp;(INT((A224-Lists!$B$2)/7)+1))</f>
        <v/>
      </c>
      <c r="C224" s="10"/>
      <c r="D224" s="10"/>
      <c r="E224" s="9" t="str">
        <f t="shared" si="3"/>
        <v/>
      </c>
      <c r="F224" s="11"/>
      <c r="G224" s="10"/>
      <c r="H224" s="10"/>
      <c r="I224" s="10"/>
      <c r="J224" s="10"/>
      <c r="K224" s="12" t="str">
        <f>IFERROR(IF(J224="","",VLOOKUP(J224,Lists!$K$2:$O$61,5,FALSE)),"")</f>
        <v/>
      </c>
      <c r="L224" s="9" t="str">
        <f>IFERROR(IF(J224="","",VLOOKUP(J224,Lists!$K$2:$O$61,2,FALSE)),"")</f>
        <v/>
      </c>
      <c r="M224" s="9" t="str">
        <f>IFERROR(IF(J224="","",VLOOKUP(J224,Lists!$K$2:$O$61,3,FALSE)),"")</f>
        <v/>
      </c>
      <c r="N224" s="10"/>
      <c r="O224" s="10"/>
      <c r="P224" s="6"/>
      <c r="Q224" s="10"/>
      <c r="R224" s="6"/>
    </row>
    <row r="225" spans="1:18" x14ac:dyDescent="0.25">
      <c r="A225" s="8"/>
      <c r="B225" s="9" t="str">
        <f>IF(A225="","","W"&amp;(INT((A225-Lists!$B$2)/7)+1))</f>
        <v/>
      </c>
      <c r="C225" s="10"/>
      <c r="D225" s="10"/>
      <c r="E225" s="9" t="str">
        <f t="shared" si="3"/>
        <v/>
      </c>
      <c r="F225" s="11"/>
      <c r="G225" s="10"/>
      <c r="H225" s="10"/>
      <c r="I225" s="10"/>
      <c r="J225" s="10"/>
      <c r="K225" s="12" t="str">
        <f>IFERROR(IF(J225="","",VLOOKUP(J225,Lists!$K$2:$O$61,5,FALSE)),"")</f>
        <v/>
      </c>
      <c r="L225" s="9" t="str">
        <f>IFERROR(IF(J225="","",VLOOKUP(J225,Lists!$K$2:$O$61,2,FALSE)),"")</f>
        <v/>
      </c>
      <c r="M225" s="9" t="str">
        <f>IFERROR(IF(J225="","",VLOOKUP(J225,Lists!$K$2:$O$61,3,FALSE)),"")</f>
        <v/>
      </c>
      <c r="N225" s="10"/>
      <c r="O225" s="10"/>
      <c r="P225" s="6"/>
      <c r="Q225" s="10"/>
      <c r="R225" s="6"/>
    </row>
    <row r="226" spans="1:18" x14ac:dyDescent="0.25">
      <c r="A226" s="8"/>
      <c r="B226" s="9" t="str">
        <f>IF(A226="","","W"&amp;(INT((A226-Lists!$B$2)/7)+1))</f>
        <v/>
      </c>
      <c r="C226" s="10"/>
      <c r="D226" s="10"/>
      <c r="E226" s="9" t="str">
        <f t="shared" si="3"/>
        <v/>
      </c>
      <c r="F226" s="11"/>
      <c r="G226" s="10"/>
      <c r="H226" s="10"/>
      <c r="I226" s="10"/>
      <c r="J226" s="10"/>
      <c r="K226" s="12" t="str">
        <f>IFERROR(IF(J226="","",VLOOKUP(J226,Lists!$K$2:$O$61,5,FALSE)),"")</f>
        <v/>
      </c>
      <c r="L226" s="9" t="str">
        <f>IFERROR(IF(J226="","",VLOOKUP(J226,Lists!$K$2:$O$61,2,FALSE)),"")</f>
        <v/>
      </c>
      <c r="M226" s="9" t="str">
        <f>IFERROR(IF(J226="","",VLOOKUP(J226,Lists!$K$2:$O$61,3,FALSE)),"")</f>
        <v/>
      </c>
      <c r="N226" s="10"/>
      <c r="O226" s="10"/>
      <c r="P226" s="6"/>
      <c r="Q226" s="10"/>
      <c r="R226" s="6"/>
    </row>
    <row r="227" spans="1:18" x14ac:dyDescent="0.25">
      <c r="A227" s="8"/>
      <c r="B227" s="9" t="str">
        <f>IF(A227="","","W"&amp;(INT((A227-Lists!$B$2)/7)+1))</f>
        <v/>
      </c>
      <c r="C227" s="10"/>
      <c r="D227" s="10"/>
      <c r="E227" s="9" t="str">
        <f t="shared" si="3"/>
        <v/>
      </c>
      <c r="F227" s="11"/>
      <c r="G227" s="10"/>
      <c r="H227" s="10"/>
      <c r="I227" s="10"/>
      <c r="J227" s="10"/>
      <c r="K227" s="12" t="str">
        <f>IFERROR(IF(J227="","",VLOOKUP(J227,Lists!$K$2:$O$61,5,FALSE)),"")</f>
        <v/>
      </c>
      <c r="L227" s="9" t="str">
        <f>IFERROR(IF(J227="","",VLOOKUP(J227,Lists!$K$2:$O$61,2,FALSE)),"")</f>
        <v/>
      </c>
      <c r="M227" s="9" t="str">
        <f>IFERROR(IF(J227="","",VLOOKUP(J227,Lists!$K$2:$O$61,3,FALSE)),"")</f>
        <v/>
      </c>
      <c r="N227" s="10"/>
      <c r="O227" s="10"/>
      <c r="P227" s="6"/>
      <c r="Q227" s="10"/>
      <c r="R227" s="6"/>
    </row>
    <row r="228" spans="1:18" x14ac:dyDescent="0.25">
      <c r="A228" s="8"/>
      <c r="B228" s="9" t="str">
        <f>IF(A228="","","W"&amp;(INT((A228-Lists!$B$2)/7)+1))</f>
        <v/>
      </c>
      <c r="C228" s="10"/>
      <c r="D228" s="10"/>
      <c r="E228" s="9" t="str">
        <f t="shared" si="3"/>
        <v/>
      </c>
      <c r="F228" s="11"/>
      <c r="G228" s="10"/>
      <c r="H228" s="10"/>
      <c r="I228" s="10"/>
      <c r="J228" s="10"/>
      <c r="K228" s="12" t="str">
        <f>IFERROR(IF(J228="","",VLOOKUP(J228,Lists!$K$2:$O$61,5,FALSE)),"")</f>
        <v/>
      </c>
      <c r="L228" s="9" t="str">
        <f>IFERROR(IF(J228="","",VLOOKUP(J228,Lists!$K$2:$O$61,2,FALSE)),"")</f>
        <v/>
      </c>
      <c r="M228" s="9" t="str">
        <f>IFERROR(IF(J228="","",VLOOKUP(J228,Lists!$K$2:$O$61,3,FALSE)),"")</f>
        <v/>
      </c>
      <c r="N228" s="10"/>
      <c r="O228" s="10"/>
      <c r="P228" s="6"/>
      <c r="Q228" s="10"/>
      <c r="R228" s="6"/>
    </row>
    <row r="229" spans="1:18" x14ac:dyDescent="0.25">
      <c r="A229" s="8"/>
      <c r="B229" s="9" t="str">
        <f>IF(A229="","","W"&amp;(INT((A229-Lists!$B$2)/7)+1))</f>
        <v/>
      </c>
      <c r="C229" s="10"/>
      <c r="D229" s="10"/>
      <c r="E229" s="9" t="str">
        <f t="shared" si="3"/>
        <v/>
      </c>
      <c r="F229" s="11"/>
      <c r="G229" s="10"/>
      <c r="H229" s="10"/>
      <c r="I229" s="10"/>
      <c r="J229" s="10"/>
      <c r="K229" s="12" t="str">
        <f>IFERROR(IF(J229="","",VLOOKUP(J229,Lists!$K$2:$O$61,5,FALSE)),"")</f>
        <v/>
      </c>
      <c r="L229" s="9" t="str">
        <f>IFERROR(IF(J229="","",VLOOKUP(J229,Lists!$K$2:$O$61,2,FALSE)),"")</f>
        <v/>
      </c>
      <c r="M229" s="9" t="str">
        <f>IFERROR(IF(J229="","",VLOOKUP(J229,Lists!$K$2:$O$61,3,FALSE)),"")</f>
        <v/>
      </c>
      <c r="N229" s="10"/>
      <c r="O229" s="10"/>
      <c r="P229" s="6"/>
      <c r="Q229" s="10"/>
      <c r="R229" s="6"/>
    </row>
    <row r="230" spans="1:18" x14ac:dyDescent="0.25">
      <c r="A230" s="8"/>
      <c r="B230" s="9" t="str">
        <f>IF(A230="","","W"&amp;(INT((A230-Lists!$B$2)/7)+1))</f>
        <v/>
      </c>
      <c r="C230" s="10"/>
      <c r="D230" s="10"/>
      <c r="E230" s="9" t="str">
        <f t="shared" si="3"/>
        <v/>
      </c>
      <c r="F230" s="11"/>
      <c r="G230" s="10"/>
      <c r="H230" s="10"/>
      <c r="I230" s="10"/>
      <c r="J230" s="10"/>
      <c r="K230" s="12" t="str">
        <f>IFERROR(IF(J230="","",VLOOKUP(J230,Lists!$K$2:$O$61,5,FALSE)),"")</f>
        <v/>
      </c>
      <c r="L230" s="9" t="str">
        <f>IFERROR(IF(J230="","",VLOOKUP(J230,Lists!$K$2:$O$61,2,FALSE)),"")</f>
        <v/>
      </c>
      <c r="M230" s="9" t="str">
        <f>IFERROR(IF(J230="","",VLOOKUP(J230,Lists!$K$2:$O$61,3,FALSE)),"")</f>
        <v/>
      </c>
      <c r="N230" s="10"/>
      <c r="O230" s="10"/>
      <c r="P230" s="6"/>
      <c r="Q230" s="10"/>
      <c r="R230" s="6"/>
    </row>
    <row r="231" spans="1:18" x14ac:dyDescent="0.25">
      <c r="A231" s="8"/>
      <c r="B231" s="9" t="str">
        <f>IF(A231="","","W"&amp;(INT((A231-Lists!$B$2)/7)+1))</f>
        <v/>
      </c>
      <c r="C231" s="10"/>
      <c r="D231" s="10"/>
      <c r="E231" s="9" t="str">
        <f t="shared" si="3"/>
        <v/>
      </c>
      <c r="F231" s="11"/>
      <c r="G231" s="10"/>
      <c r="H231" s="10"/>
      <c r="I231" s="10"/>
      <c r="J231" s="10"/>
      <c r="K231" s="12" t="str">
        <f>IFERROR(IF(J231="","",VLOOKUP(J231,Lists!$K$2:$O$61,5,FALSE)),"")</f>
        <v/>
      </c>
      <c r="L231" s="9" t="str">
        <f>IFERROR(IF(J231="","",VLOOKUP(J231,Lists!$K$2:$O$61,2,FALSE)),"")</f>
        <v/>
      </c>
      <c r="M231" s="9" t="str">
        <f>IFERROR(IF(J231="","",VLOOKUP(J231,Lists!$K$2:$O$61,3,FALSE)),"")</f>
        <v/>
      </c>
      <c r="N231" s="10"/>
      <c r="O231" s="10"/>
      <c r="P231" s="6"/>
      <c r="Q231" s="10"/>
      <c r="R231" s="6"/>
    </row>
    <row r="232" spans="1:18" x14ac:dyDescent="0.25">
      <c r="A232" s="8"/>
      <c r="B232" s="9" t="str">
        <f>IF(A232="","","W"&amp;(INT((A232-Lists!$B$2)/7)+1))</f>
        <v/>
      </c>
      <c r="C232" s="10"/>
      <c r="D232" s="10"/>
      <c r="E232" s="9" t="str">
        <f t="shared" si="3"/>
        <v/>
      </c>
      <c r="F232" s="11"/>
      <c r="G232" s="10"/>
      <c r="H232" s="10"/>
      <c r="I232" s="10"/>
      <c r="J232" s="10"/>
      <c r="K232" s="12" t="str">
        <f>IFERROR(IF(J232="","",VLOOKUP(J232,Lists!$K$2:$O$61,5,FALSE)),"")</f>
        <v/>
      </c>
      <c r="L232" s="9" t="str">
        <f>IFERROR(IF(J232="","",VLOOKUP(J232,Lists!$K$2:$O$61,2,FALSE)),"")</f>
        <v/>
      </c>
      <c r="M232" s="9" t="str">
        <f>IFERROR(IF(J232="","",VLOOKUP(J232,Lists!$K$2:$O$61,3,FALSE)),"")</f>
        <v/>
      </c>
      <c r="N232" s="10"/>
      <c r="O232" s="10"/>
      <c r="P232" s="6"/>
      <c r="Q232" s="10"/>
      <c r="R232" s="6"/>
    </row>
    <row r="233" spans="1:18" x14ac:dyDescent="0.25">
      <c r="A233" s="8"/>
      <c r="B233" s="9" t="str">
        <f>IF(A233="","","W"&amp;(INT((A233-Lists!$B$2)/7)+1))</f>
        <v/>
      </c>
      <c r="C233" s="10"/>
      <c r="D233" s="10"/>
      <c r="E233" s="9" t="str">
        <f t="shared" si="3"/>
        <v/>
      </c>
      <c r="F233" s="11"/>
      <c r="G233" s="10"/>
      <c r="H233" s="10"/>
      <c r="I233" s="10"/>
      <c r="J233" s="10"/>
      <c r="K233" s="12" t="str">
        <f>IFERROR(IF(J233="","",VLOOKUP(J233,Lists!$K$2:$O$61,5,FALSE)),"")</f>
        <v/>
      </c>
      <c r="L233" s="9" t="str">
        <f>IFERROR(IF(J233="","",VLOOKUP(J233,Lists!$K$2:$O$61,2,FALSE)),"")</f>
        <v/>
      </c>
      <c r="M233" s="9" t="str">
        <f>IFERROR(IF(J233="","",VLOOKUP(J233,Lists!$K$2:$O$61,3,FALSE)),"")</f>
        <v/>
      </c>
      <c r="N233" s="10"/>
      <c r="O233" s="10"/>
      <c r="P233" s="6"/>
      <c r="Q233" s="10"/>
      <c r="R233" s="6"/>
    </row>
    <row r="234" spans="1:18" x14ac:dyDescent="0.25">
      <c r="A234" s="8"/>
      <c r="B234" s="9" t="str">
        <f>IF(A234="","","W"&amp;(INT((A234-Lists!$B$2)/7)+1))</f>
        <v/>
      </c>
      <c r="C234" s="10"/>
      <c r="D234" s="10"/>
      <c r="E234" s="9" t="str">
        <f t="shared" si="3"/>
        <v/>
      </c>
      <c r="F234" s="11"/>
      <c r="G234" s="10"/>
      <c r="H234" s="10"/>
      <c r="I234" s="10"/>
      <c r="J234" s="10"/>
      <c r="K234" s="12" t="str">
        <f>IFERROR(IF(J234="","",VLOOKUP(J234,Lists!$K$2:$O$61,5,FALSE)),"")</f>
        <v/>
      </c>
      <c r="L234" s="9" t="str">
        <f>IFERROR(IF(J234="","",VLOOKUP(J234,Lists!$K$2:$O$61,2,FALSE)),"")</f>
        <v/>
      </c>
      <c r="M234" s="9" t="str">
        <f>IFERROR(IF(J234="","",VLOOKUP(J234,Lists!$K$2:$O$61,3,FALSE)),"")</f>
        <v/>
      </c>
      <c r="N234" s="10"/>
      <c r="O234" s="10"/>
      <c r="P234" s="6"/>
      <c r="Q234" s="10"/>
      <c r="R234" s="6"/>
    </row>
    <row r="235" spans="1:18" x14ac:dyDescent="0.25">
      <c r="A235" s="8"/>
      <c r="B235" s="9" t="str">
        <f>IF(A235="","","W"&amp;(INT((A235-Lists!$B$2)/7)+1))</f>
        <v/>
      </c>
      <c r="C235" s="10"/>
      <c r="D235" s="10"/>
      <c r="E235" s="9" t="str">
        <f t="shared" si="3"/>
        <v/>
      </c>
      <c r="F235" s="11"/>
      <c r="G235" s="10"/>
      <c r="H235" s="10"/>
      <c r="I235" s="10"/>
      <c r="J235" s="10"/>
      <c r="K235" s="12" t="str">
        <f>IFERROR(IF(J235="","",VLOOKUP(J235,Lists!$K$2:$O$61,5,FALSE)),"")</f>
        <v/>
      </c>
      <c r="L235" s="9" t="str">
        <f>IFERROR(IF(J235="","",VLOOKUP(J235,Lists!$K$2:$O$61,2,FALSE)),"")</f>
        <v/>
      </c>
      <c r="M235" s="9" t="str">
        <f>IFERROR(IF(J235="","",VLOOKUP(J235,Lists!$K$2:$O$61,3,FALSE)),"")</f>
        <v/>
      </c>
      <c r="N235" s="10"/>
      <c r="O235" s="10"/>
      <c r="P235" s="6"/>
      <c r="Q235" s="10"/>
      <c r="R235" s="6"/>
    </row>
    <row r="236" spans="1:18" x14ac:dyDescent="0.25">
      <c r="A236" s="8"/>
      <c r="B236" s="9" t="str">
        <f>IF(A236="","","W"&amp;(INT((A236-Lists!$B$2)/7)+1))</f>
        <v/>
      </c>
      <c r="C236" s="10"/>
      <c r="D236" s="10"/>
      <c r="E236" s="9" t="str">
        <f t="shared" si="3"/>
        <v/>
      </c>
      <c r="F236" s="11"/>
      <c r="G236" s="10"/>
      <c r="H236" s="10"/>
      <c r="I236" s="10"/>
      <c r="J236" s="10"/>
      <c r="K236" s="12" t="str">
        <f>IFERROR(IF(J236="","",VLOOKUP(J236,Lists!$K$2:$O$61,5,FALSE)),"")</f>
        <v/>
      </c>
      <c r="L236" s="9" t="str">
        <f>IFERROR(IF(J236="","",VLOOKUP(J236,Lists!$K$2:$O$61,2,FALSE)),"")</f>
        <v/>
      </c>
      <c r="M236" s="9" t="str">
        <f>IFERROR(IF(J236="","",VLOOKUP(J236,Lists!$K$2:$O$61,3,FALSE)),"")</f>
        <v/>
      </c>
      <c r="N236" s="10"/>
      <c r="O236" s="10"/>
      <c r="P236" s="6"/>
      <c r="Q236" s="10"/>
      <c r="R236" s="6"/>
    </row>
    <row r="237" spans="1:18" x14ac:dyDescent="0.25">
      <c r="A237" s="8"/>
      <c r="B237" s="9" t="str">
        <f>IF(A237="","","W"&amp;(INT((A237-Lists!$B$2)/7)+1))</f>
        <v/>
      </c>
      <c r="C237" s="10"/>
      <c r="D237" s="10"/>
      <c r="E237" s="9" t="str">
        <f t="shared" si="3"/>
        <v/>
      </c>
      <c r="F237" s="11"/>
      <c r="G237" s="10"/>
      <c r="H237" s="10"/>
      <c r="I237" s="10"/>
      <c r="J237" s="10"/>
      <c r="K237" s="12" t="str">
        <f>IFERROR(IF(J237="","",VLOOKUP(J237,Lists!$K$2:$O$61,5,FALSE)),"")</f>
        <v/>
      </c>
      <c r="L237" s="9" t="str">
        <f>IFERROR(IF(J237="","",VLOOKUP(J237,Lists!$K$2:$O$61,2,FALSE)),"")</f>
        <v/>
      </c>
      <c r="M237" s="9" t="str">
        <f>IFERROR(IF(J237="","",VLOOKUP(J237,Lists!$K$2:$O$61,3,FALSE)),"")</f>
        <v/>
      </c>
      <c r="N237" s="10"/>
      <c r="O237" s="10"/>
      <c r="P237" s="6"/>
      <c r="Q237" s="10"/>
      <c r="R237" s="6"/>
    </row>
    <row r="238" spans="1:18" x14ac:dyDescent="0.25">
      <c r="A238" s="8"/>
      <c r="B238" s="9" t="str">
        <f>IF(A238="","","W"&amp;(INT((A238-Lists!$B$2)/7)+1))</f>
        <v/>
      </c>
      <c r="C238" s="10"/>
      <c r="D238" s="10"/>
      <c r="E238" s="9" t="str">
        <f t="shared" si="3"/>
        <v/>
      </c>
      <c r="F238" s="11"/>
      <c r="G238" s="10"/>
      <c r="H238" s="10"/>
      <c r="I238" s="10"/>
      <c r="J238" s="10"/>
      <c r="K238" s="12" t="str">
        <f>IFERROR(IF(J238="","",VLOOKUP(J238,Lists!$K$2:$O$61,5,FALSE)),"")</f>
        <v/>
      </c>
      <c r="L238" s="9" t="str">
        <f>IFERROR(IF(J238="","",VLOOKUP(J238,Lists!$K$2:$O$61,2,FALSE)),"")</f>
        <v/>
      </c>
      <c r="M238" s="9" t="str">
        <f>IFERROR(IF(J238="","",VLOOKUP(J238,Lists!$K$2:$O$61,3,FALSE)),"")</f>
        <v/>
      </c>
      <c r="N238" s="10"/>
      <c r="O238" s="10"/>
      <c r="P238" s="6"/>
      <c r="Q238" s="10"/>
      <c r="R238" s="6"/>
    </row>
    <row r="239" spans="1:18" x14ac:dyDescent="0.25">
      <c r="A239" s="8"/>
      <c r="B239" s="9" t="str">
        <f>IF(A239="","","W"&amp;(INT((A239-Lists!$B$2)/7)+1))</f>
        <v/>
      </c>
      <c r="C239" s="10"/>
      <c r="D239" s="10"/>
      <c r="E239" s="9" t="str">
        <f t="shared" si="3"/>
        <v/>
      </c>
      <c r="F239" s="11"/>
      <c r="G239" s="10"/>
      <c r="H239" s="10"/>
      <c r="I239" s="10"/>
      <c r="J239" s="10"/>
      <c r="K239" s="12" t="str">
        <f>IFERROR(IF(J239="","",VLOOKUP(J239,Lists!$K$2:$O$61,5,FALSE)),"")</f>
        <v/>
      </c>
      <c r="L239" s="9" t="str">
        <f>IFERROR(IF(J239="","",VLOOKUP(J239,Lists!$K$2:$O$61,2,FALSE)),"")</f>
        <v/>
      </c>
      <c r="M239" s="9" t="str">
        <f>IFERROR(IF(J239="","",VLOOKUP(J239,Lists!$K$2:$O$61,3,FALSE)),"")</f>
        <v/>
      </c>
      <c r="N239" s="10"/>
      <c r="O239" s="10"/>
      <c r="P239" s="6"/>
      <c r="Q239" s="10"/>
      <c r="R239" s="6"/>
    </row>
    <row r="240" spans="1:18" x14ac:dyDescent="0.25">
      <c r="A240" s="8"/>
      <c r="B240" s="9" t="str">
        <f>IF(A240="","","W"&amp;(INT((A240-Lists!$B$2)/7)+1))</f>
        <v/>
      </c>
      <c r="C240" s="10"/>
      <c r="D240" s="10"/>
      <c r="E240" s="9" t="str">
        <f t="shared" si="3"/>
        <v/>
      </c>
      <c r="F240" s="11"/>
      <c r="G240" s="10"/>
      <c r="H240" s="10"/>
      <c r="I240" s="10"/>
      <c r="J240" s="10"/>
      <c r="K240" s="12" t="str">
        <f>IFERROR(IF(J240="","",VLOOKUP(J240,Lists!$K$2:$O$61,5,FALSE)),"")</f>
        <v/>
      </c>
      <c r="L240" s="9" t="str">
        <f>IFERROR(IF(J240="","",VLOOKUP(J240,Lists!$K$2:$O$61,2,FALSE)),"")</f>
        <v/>
      </c>
      <c r="M240" s="9" t="str">
        <f>IFERROR(IF(J240="","",VLOOKUP(J240,Lists!$K$2:$O$61,3,FALSE)),"")</f>
        <v/>
      </c>
      <c r="N240" s="10"/>
      <c r="O240" s="10"/>
      <c r="P240" s="6"/>
      <c r="Q240" s="10"/>
      <c r="R240" s="6"/>
    </row>
    <row r="241" spans="1:18" x14ac:dyDescent="0.25">
      <c r="A241" s="8"/>
      <c r="B241" s="9" t="str">
        <f>IF(A241="","","W"&amp;(INT((A241-Lists!$B$2)/7)+1))</f>
        <v/>
      </c>
      <c r="C241" s="10"/>
      <c r="D241" s="10"/>
      <c r="E241" s="9" t="str">
        <f t="shared" si="3"/>
        <v/>
      </c>
      <c r="F241" s="11"/>
      <c r="G241" s="10"/>
      <c r="H241" s="10"/>
      <c r="I241" s="10"/>
      <c r="J241" s="10"/>
      <c r="K241" s="12" t="str">
        <f>IFERROR(IF(J241="","",VLOOKUP(J241,Lists!$K$2:$O$61,5,FALSE)),"")</f>
        <v/>
      </c>
      <c r="L241" s="9" t="str">
        <f>IFERROR(IF(J241="","",VLOOKUP(J241,Lists!$K$2:$O$61,2,FALSE)),"")</f>
        <v/>
      </c>
      <c r="M241" s="9" t="str">
        <f>IFERROR(IF(J241="","",VLOOKUP(J241,Lists!$K$2:$O$61,3,FALSE)),"")</f>
        <v/>
      </c>
      <c r="N241" s="10"/>
      <c r="O241" s="10"/>
      <c r="P241" s="6"/>
      <c r="Q241" s="10"/>
      <c r="R241" s="6"/>
    </row>
    <row r="242" spans="1:18" x14ac:dyDescent="0.25">
      <c r="A242" s="8"/>
      <c r="B242" s="9" t="str">
        <f>IF(A242="","","W"&amp;(INT((A242-Lists!$B$2)/7)+1))</f>
        <v/>
      </c>
      <c r="C242" s="10"/>
      <c r="D242" s="10"/>
      <c r="E242" s="9" t="str">
        <f t="shared" si="3"/>
        <v/>
      </c>
      <c r="F242" s="11"/>
      <c r="G242" s="10"/>
      <c r="H242" s="10"/>
      <c r="I242" s="10"/>
      <c r="J242" s="10"/>
      <c r="K242" s="12" t="str">
        <f>IFERROR(IF(J242="","",VLOOKUP(J242,Lists!$K$2:$O$61,5,FALSE)),"")</f>
        <v/>
      </c>
      <c r="L242" s="9" t="str">
        <f>IFERROR(IF(J242="","",VLOOKUP(J242,Lists!$K$2:$O$61,2,FALSE)),"")</f>
        <v/>
      </c>
      <c r="M242" s="9" t="str">
        <f>IFERROR(IF(J242="","",VLOOKUP(J242,Lists!$K$2:$O$61,3,FALSE)),"")</f>
        <v/>
      </c>
      <c r="N242" s="10"/>
      <c r="O242" s="10"/>
      <c r="P242" s="6"/>
      <c r="Q242" s="10"/>
      <c r="R242" s="6"/>
    </row>
    <row r="243" spans="1:18" x14ac:dyDescent="0.25">
      <c r="A243" s="8"/>
      <c r="B243" s="9" t="str">
        <f>IF(A243="","","W"&amp;(INT((A243-Lists!$B$2)/7)+1))</f>
        <v/>
      </c>
      <c r="C243" s="10"/>
      <c r="D243" s="10"/>
      <c r="E243" s="9" t="str">
        <f t="shared" si="3"/>
        <v/>
      </c>
      <c r="F243" s="11"/>
      <c r="G243" s="10"/>
      <c r="H243" s="10"/>
      <c r="I243" s="10"/>
      <c r="J243" s="10"/>
      <c r="K243" s="12" t="str">
        <f>IFERROR(IF(J243="","",VLOOKUP(J243,Lists!$K$2:$O$61,5,FALSE)),"")</f>
        <v/>
      </c>
      <c r="L243" s="9" t="str">
        <f>IFERROR(IF(J243="","",VLOOKUP(J243,Lists!$K$2:$O$61,2,FALSE)),"")</f>
        <v/>
      </c>
      <c r="M243" s="9" t="str">
        <f>IFERROR(IF(J243="","",VLOOKUP(J243,Lists!$K$2:$O$61,3,FALSE)),"")</f>
        <v/>
      </c>
      <c r="N243" s="10"/>
      <c r="O243" s="10"/>
      <c r="P243" s="6"/>
      <c r="Q243" s="10"/>
      <c r="R243" s="6"/>
    </row>
    <row r="244" spans="1:18" x14ac:dyDescent="0.25">
      <c r="A244" s="8"/>
      <c r="B244" s="9" t="str">
        <f>IF(A244="","","W"&amp;(INT((A244-Lists!$B$2)/7)+1))</f>
        <v/>
      </c>
      <c r="C244" s="10"/>
      <c r="D244" s="10"/>
      <c r="E244" s="9" t="str">
        <f t="shared" si="3"/>
        <v/>
      </c>
      <c r="F244" s="11"/>
      <c r="G244" s="10"/>
      <c r="H244" s="10"/>
      <c r="I244" s="10"/>
      <c r="J244" s="10"/>
      <c r="K244" s="12" t="str">
        <f>IFERROR(IF(J244="","",VLOOKUP(J244,Lists!$K$2:$O$61,5,FALSE)),"")</f>
        <v/>
      </c>
      <c r="L244" s="9" t="str">
        <f>IFERROR(IF(J244="","",VLOOKUP(J244,Lists!$K$2:$O$61,2,FALSE)),"")</f>
        <v/>
      </c>
      <c r="M244" s="9" t="str">
        <f>IFERROR(IF(J244="","",VLOOKUP(J244,Lists!$K$2:$O$61,3,FALSE)),"")</f>
        <v/>
      </c>
      <c r="N244" s="10"/>
      <c r="O244" s="10"/>
      <c r="P244" s="6"/>
      <c r="Q244" s="10"/>
      <c r="R244" s="6"/>
    </row>
    <row r="245" spans="1:18" x14ac:dyDescent="0.25">
      <c r="A245" s="8"/>
      <c r="B245" s="9" t="str">
        <f>IF(A245="","","W"&amp;(INT((A245-Lists!$B$2)/7)+1))</f>
        <v/>
      </c>
      <c r="C245" s="10"/>
      <c r="D245" s="10"/>
      <c r="E245" s="9" t="str">
        <f t="shared" si="3"/>
        <v/>
      </c>
      <c r="F245" s="11"/>
      <c r="G245" s="10"/>
      <c r="H245" s="10"/>
      <c r="I245" s="10"/>
      <c r="J245" s="10"/>
      <c r="K245" s="12" t="str">
        <f>IFERROR(IF(J245="","",VLOOKUP(J245,Lists!$K$2:$O$61,5,FALSE)),"")</f>
        <v/>
      </c>
      <c r="L245" s="9" t="str">
        <f>IFERROR(IF(J245="","",VLOOKUP(J245,Lists!$K$2:$O$61,2,FALSE)),"")</f>
        <v/>
      </c>
      <c r="M245" s="9" t="str">
        <f>IFERROR(IF(J245="","",VLOOKUP(J245,Lists!$K$2:$O$61,3,FALSE)),"")</f>
        <v/>
      </c>
      <c r="N245" s="10"/>
      <c r="O245" s="10"/>
      <c r="P245" s="6"/>
      <c r="Q245" s="10"/>
      <c r="R245" s="6"/>
    </row>
    <row r="246" spans="1:18" x14ac:dyDescent="0.25">
      <c r="A246" s="8"/>
      <c r="B246" s="9" t="str">
        <f>IF(A246="","","W"&amp;(INT((A246-Lists!$B$2)/7)+1))</f>
        <v/>
      </c>
      <c r="C246" s="10"/>
      <c r="D246" s="10"/>
      <c r="E246" s="9" t="str">
        <f t="shared" si="3"/>
        <v/>
      </c>
      <c r="F246" s="11"/>
      <c r="G246" s="10"/>
      <c r="H246" s="10"/>
      <c r="I246" s="10"/>
      <c r="J246" s="10"/>
      <c r="K246" s="12" t="str">
        <f>IFERROR(IF(J246="","",VLOOKUP(J246,Lists!$K$2:$O$61,5,FALSE)),"")</f>
        <v/>
      </c>
      <c r="L246" s="9" t="str">
        <f>IFERROR(IF(J246="","",VLOOKUP(J246,Lists!$K$2:$O$61,2,FALSE)),"")</f>
        <v/>
      </c>
      <c r="M246" s="9" t="str">
        <f>IFERROR(IF(J246="","",VLOOKUP(J246,Lists!$K$2:$O$61,3,FALSE)),"")</f>
        <v/>
      </c>
      <c r="N246" s="10"/>
      <c r="O246" s="10"/>
      <c r="P246" s="6"/>
      <c r="Q246" s="10"/>
      <c r="R246" s="6"/>
    </row>
    <row r="247" spans="1:18" x14ac:dyDescent="0.25">
      <c r="A247" s="8"/>
      <c r="B247" s="9" t="str">
        <f>IF(A247="","","W"&amp;(INT((A247-Lists!$B$2)/7)+1))</f>
        <v/>
      </c>
      <c r="C247" s="10"/>
      <c r="D247" s="10"/>
      <c r="E247" s="9" t="str">
        <f t="shared" si="3"/>
        <v/>
      </c>
      <c r="F247" s="11"/>
      <c r="G247" s="10"/>
      <c r="H247" s="10"/>
      <c r="I247" s="10"/>
      <c r="J247" s="10"/>
      <c r="K247" s="12" t="str">
        <f>IFERROR(IF(J247="","",VLOOKUP(J247,Lists!$K$2:$O$61,5,FALSE)),"")</f>
        <v/>
      </c>
      <c r="L247" s="9" t="str">
        <f>IFERROR(IF(J247="","",VLOOKUP(J247,Lists!$K$2:$O$61,2,FALSE)),"")</f>
        <v/>
      </c>
      <c r="M247" s="9" t="str">
        <f>IFERROR(IF(J247="","",VLOOKUP(J247,Lists!$K$2:$O$61,3,FALSE)),"")</f>
        <v/>
      </c>
      <c r="N247" s="10"/>
      <c r="O247" s="10"/>
      <c r="P247" s="6"/>
      <c r="Q247" s="10"/>
      <c r="R247" s="6"/>
    </row>
    <row r="248" spans="1:18" x14ac:dyDescent="0.25">
      <c r="A248" s="8"/>
      <c r="B248" s="9" t="str">
        <f>IF(A248="","","W"&amp;(INT((A248-Lists!$B$2)/7)+1))</f>
        <v/>
      </c>
      <c r="C248" s="10"/>
      <c r="D248" s="10"/>
      <c r="E248" s="9" t="str">
        <f t="shared" si="3"/>
        <v/>
      </c>
      <c r="F248" s="11"/>
      <c r="G248" s="10"/>
      <c r="H248" s="10"/>
      <c r="I248" s="10"/>
      <c r="J248" s="10"/>
      <c r="K248" s="12" t="str">
        <f>IFERROR(IF(J248="","",VLOOKUP(J248,Lists!$K$2:$O$61,5,FALSE)),"")</f>
        <v/>
      </c>
      <c r="L248" s="9" t="str">
        <f>IFERROR(IF(J248="","",VLOOKUP(J248,Lists!$K$2:$O$61,2,FALSE)),"")</f>
        <v/>
      </c>
      <c r="M248" s="9" t="str">
        <f>IFERROR(IF(J248="","",VLOOKUP(J248,Lists!$K$2:$O$61,3,FALSE)),"")</f>
        <v/>
      </c>
      <c r="N248" s="10"/>
      <c r="O248" s="10"/>
      <c r="P248" s="6"/>
      <c r="Q248" s="10"/>
      <c r="R248" s="6"/>
    </row>
    <row r="249" spans="1:18" x14ac:dyDescent="0.25">
      <c r="A249" s="8"/>
      <c r="B249" s="9" t="str">
        <f>IF(A249="","","W"&amp;(INT((A249-Lists!$B$2)/7)+1))</f>
        <v/>
      </c>
      <c r="C249" s="10"/>
      <c r="D249" s="10"/>
      <c r="E249" s="9" t="str">
        <f t="shared" si="3"/>
        <v/>
      </c>
      <c r="F249" s="11"/>
      <c r="G249" s="10"/>
      <c r="H249" s="10"/>
      <c r="I249" s="10"/>
      <c r="J249" s="10"/>
      <c r="K249" s="12" t="str">
        <f>IFERROR(IF(J249="","",VLOOKUP(J249,Lists!$K$2:$O$61,5,FALSE)),"")</f>
        <v/>
      </c>
      <c r="L249" s="9" t="str">
        <f>IFERROR(IF(J249="","",VLOOKUP(J249,Lists!$K$2:$O$61,2,FALSE)),"")</f>
        <v/>
      </c>
      <c r="M249" s="9" t="str">
        <f>IFERROR(IF(J249="","",VLOOKUP(J249,Lists!$K$2:$O$61,3,FALSE)),"")</f>
        <v/>
      </c>
      <c r="N249" s="10"/>
      <c r="O249" s="10"/>
      <c r="P249" s="6"/>
      <c r="Q249" s="10"/>
      <c r="R249" s="6"/>
    </row>
    <row r="250" spans="1:18" x14ac:dyDescent="0.25">
      <c r="A250" s="8"/>
      <c r="B250" s="9" t="str">
        <f>IF(A250="","","W"&amp;(INT((A250-Lists!$B$2)/7)+1))</f>
        <v/>
      </c>
      <c r="C250" s="10"/>
      <c r="D250" s="10"/>
      <c r="E250" s="9" t="str">
        <f t="shared" si="3"/>
        <v/>
      </c>
      <c r="F250" s="11"/>
      <c r="G250" s="10"/>
      <c r="H250" s="10"/>
      <c r="I250" s="10"/>
      <c r="J250" s="10"/>
      <c r="K250" s="12" t="str">
        <f>IFERROR(IF(J250="","",VLOOKUP(J250,Lists!$K$2:$O$61,5,FALSE)),"")</f>
        <v/>
      </c>
      <c r="L250" s="9" t="str">
        <f>IFERROR(IF(J250="","",VLOOKUP(J250,Lists!$K$2:$O$61,2,FALSE)),"")</f>
        <v/>
      </c>
      <c r="M250" s="9" t="str">
        <f>IFERROR(IF(J250="","",VLOOKUP(J250,Lists!$K$2:$O$61,3,FALSE)),"")</f>
        <v/>
      </c>
      <c r="N250" s="10"/>
      <c r="O250" s="10"/>
      <c r="P250" s="6"/>
      <c r="Q250" s="10"/>
      <c r="R250" s="6"/>
    </row>
    <row r="251" spans="1:18" x14ac:dyDescent="0.25">
      <c r="A251" s="8"/>
      <c r="B251" s="9" t="str">
        <f>IF(A251="","","W"&amp;(INT((A251-Lists!$B$2)/7)+1))</f>
        <v/>
      </c>
      <c r="C251" s="10"/>
      <c r="D251" s="10"/>
      <c r="E251" s="9" t="str">
        <f t="shared" si="3"/>
        <v/>
      </c>
      <c r="F251" s="11"/>
      <c r="G251" s="10"/>
      <c r="H251" s="10"/>
      <c r="I251" s="10"/>
      <c r="J251" s="10"/>
      <c r="K251" s="12" t="str">
        <f>IFERROR(IF(J251="","",VLOOKUP(J251,Lists!$K$2:$O$61,5,FALSE)),"")</f>
        <v/>
      </c>
      <c r="L251" s="9" t="str">
        <f>IFERROR(IF(J251="","",VLOOKUP(J251,Lists!$K$2:$O$61,2,FALSE)),"")</f>
        <v/>
      </c>
      <c r="M251" s="9" t="str">
        <f>IFERROR(IF(J251="","",VLOOKUP(J251,Lists!$K$2:$O$61,3,FALSE)),"")</f>
        <v/>
      </c>
      <c r="N251" s="10"/>
      <c r="O251" s="10"/>
      <c r="P251" s="6"/>
      <c r="Q251" s="10"/>
      <c r="R251" s="6"/>
    </row>
    <row r="252" spans="1:18" x14ac:dyDescent="0.25">
      <c r="A252" s="8"/>
      <c r="B252" s="9" t="str">
        <f>IF(A252="","","W"&amp;(INT((A252-Lists!$B$2)/7)+1))</f>
        <v/>
      </c>
      <c r="C252" s="10"/>
      <c r="D252" s="10"/>
      <c r="E252" s="9" t="str">
        <f t="shared" si="3"/>
        <v/>
      </c>
      <c r="F252" s="11"/>
      <c r="G252" s="10"/>
      <c r="H252" s="10"/>
      <c r="I252" s="10"/>
      <c r="J252" s="10"/>
      <c r="K252" s="12" t="str">
        <f>IFERROR(IF(J252="","",VLOOKUP(J252,Lists!$K$2:$O$61,5,FALSE)),"")</f>
        <v/>
      </c>
      <c r="L252" s="9" t="str">
        <f>IFERROR(IF(J252="","",VLOOKUP(J252,Lists!$K$2:$O$61,2,FALSE)),"")</f>
        <v/>
      </c>
      <c r="M252" s="9" t="str">
        <f>IFERROR(IF(J252="","",VLOOKUP(J252,Lists!$K$2:$O$61,3,FALSE)),"")</f>
        <v/>
      </c>
      <c r="N252" s="10"/>
      <c r="O252" s="10"/>
      <c r="P252" s="6"/>
      <c r="Q252" s="10"/>
      <c r="R252" s="6"/>
    </row>
    <row r="253" spans="1:18" x14ac:dyDescent="0.25">
      <c r="A253" s="8"/>
      <c r="B253" s="9" t="str">
        <f>IF(A253="","","W"&amp;(INT((A253-Lists!$B$2)/7)+1))</f>
        <v/>
      </c>
      <c r="C253" s="10"/>
      <c r="D253" s="10"/>
      <c r="E253" s="9" t="str">
        <f t="shared" si="3"/>
        <v/>
      </c>
      <c r="F253" s="11"/>
      <c r="G253" s="10"/>
      <c r="H253" s="10"/>
      <c r="I253" s="10"/>
      <c r="J253" s="10"/>
      <c r="K253" s="12" t="str">
        <f>IFERROR(IF(J253="","",VLOOKUP(J253,Lists!$K$2:$O$61,5,FALSE)),"")</f>
        <v/>
      </c>
      <c r="L253" s="9" t="str">
        <f>IFERROR(IF(J253="","",VLOOKUP(J253,Lists!$K$2:$O$61,2,FALSE)),"")</f>
        <v/>
      </c>
      <c r="M253" s="9" t="str">
        <f>IFERROR(IF(J253="","",VLOOKUP(J253,Lists!$K$2:$O$61,3,FALSE)),"")</f>
        <v/>
      </c>
      <c r="N253" s="10"/>
      <c r="O253" s="10"/>
      <c r="P253" s="6"/>
      <c r="Q253" s="10"/>
      <c r="R253" s="6"/>
    </row>
    <row r="254" spans="1:18" x14ac:dyDescent="0.25">
      <c r="A254" s="8"/>
      <c r="B254" s="9" t="str">
        <f>IF(A254="","","W"&amp;(INT((A254-Lists!$B$2)/7)+1))</f>
        <v/>
      </c>
      <c r="C254" s="10"/>
      <c r="D254" s="10"/>
      <c r="E254" s="9" t="str">
        <f t="shared" si="3"/>
        <v/>
      </c>
      <c r="F254" s="11"/>
      <c r="G254" s="10"/>
      <c r="H254" s="10"/>
      <c r="I254" s="10"/>
      <c r="J254" s="10"/>
      <c r="K254" s="12" t="str">
        <f>IFERROR(IF(J254="","",VLOOKUP(J254,Lists!$K$2:$O$61,5,FALSE)),"")</f>
        <v/>
      </c>
      <c r="L254" s="9" t="str">
        <f>IFERROR(IF(J254="","",VLOOKUP(J254,Lists!$K$2:$O$61,2,FALSE)),"")</f>
        <v/>
      </c>
      <c r="M254" s="9" t="str">
        <f>IFERROR(IF(J254="","",VLOOKUP(J254,Lists!$K$2:$O$61,3,FALSE)),"")</f>
        <v/>
      </c>
      <c r="N254" s="10"/>
      <c r="O254" s="10"/>
      <c r="P254" s="6"/>
      <c r="Q254" s="10"/>
      <c r="R254" s="6"/>
    </row>
    <row r="255" spans="1:18" x14ac:dyDescent="0.25">
      <c r="A255" s="8"/>
      <c r="B255" s="9" t="str">
        <f>IF(A255="","","W"&amp;(INT((A255-Lists!$B$2)/7)+1))</f>
        <v/>
      </c>
      <c r="C255" s="10"/>
      <c r="D255" s="10"/>
      <c r="E255" s="9" t="str">
        <f t="shared" si="3"/>
        <v/>
      </c>
      <c r="F255" s="11"/>
      <c r="G255" s="10"/>
      <c r="H255" s="10"/>
      <c r="I255" s="10"/>
      <c r="J255" s="10"/>
      <c r="K255" s="12" t="str">
        <f>IFERROR(IF(J255="","",VLOOKUP(J255,Lists!$K$2:$O$61,5,FALSE)),"")</f>
        <v/>
      </c>
      <c r="L255" s="9" t="str">
        <f>IFERROR(IF(J255="","",VLOOKUP(J255,Lists!$K$2:$O$61,2,FALSE)),"")</f>
        <v/>
      </c>
      <c r="M255" s="9" t="str">
        <f>IFERROR(IF(J255="","",VLOOKUP(J255,Lists!$K$2:$O$61,3,FALSE)),"")</f>
        <v/>
      </c>
      <c r="N255" s="10"/>
      <c r="O255" s="10"/>
      <c r="P255" s="6"/>
      <c r="Q255" s="10"/>
      <c r="R255" s="6"/>
    </row>
    <row r="256" spans="1:18" x14ac:dyDescent="0.25">
      <c r="A256" s="8"/>
      <c r="B256" s="9" t="str">
        <f>IF(A256="","","W"&amp;(INT((A256-Lists!$B$2)/7)+1))</f>
        <v/>
      </c>
      <c r="C256" s="10"/>
      <c r="D256" s="10"/>
      <c r="E256" s="9" t="str">
        <f t="shared" si="3"/>
        <v/>
      </c>
      <c r="F256" s="11"/>
      <c r="G256" s="10"/>
      <c r="H256" s="10"/>
      <c r="I256" s="10"/>
      <c r="J256" s="10"/>
      <c r="K256" s="12" t="str">
        <f>IFERROR(IF(J256="","",VLOOKUP(J256,Lists!$K$2:$O$61,5,FALSE)),"")</f>
        <v/>
      </c>
      <c r="L256" s="9" t="str">
        <f>IFERROR(IF(J256="","",VLOOKUP(J256,Lists!$K$2:$O$61,2,FALSE)),"")</f>
        <v/>
      </c>
      <c r="M256" s="9" t="str">
        <f>IFERROR(IF(J256="","",VLOOKUP(J256,Lists!$K$2:$O$61,3,FALSE)),"")</f>
        <v/>
      </c>
      <c r="N256" s="10"/>
      <c r="O256" s="10"/>
      <c r="P256" s="6"/>
      <c r="Q256" s="10"/>
      <c r="R256" s="6"/>
    </row>
    <row r="257" spans="1:18" x14ac:dyDescent="0.25">
      <c r="A257" s="8"/>
      <c r="B257" s="9" t="str">
        <f>IF(A257="","","W"&amp;(INT((A257-Lists!$B$2)/7)+1))</f>
        <v/>
      </c>
      <c r="C257" s="10"/>
      <c r="D257" s="10"/>
      <c r="E257" s="9" t="str">
        <f t="shared" si="3"/>
        <v/>
      </c>
      <c r="F257" s="11"/>
      <c r="G257" s="10"/>
      <c r="H257" s="10"/>
      <c r="I257" s="10"/>
      <c r="J257" s="10"/>
      <c r="K257" s="12" t="str">
        <f>IFERROR(IF(J257="","",VLOOKUP(J257,Lists!$K$2:$O$61,5,FALSE)),"")</f>
        <v/>
      </c>
      <c r="L257" s="9" t="str">
        <f>IFERROR(IF(J257="","",VLOOKUP(J257,Lists!$K$2:$O$61,2,FALSE)),"")</f>
        <v/>
      </c>
      <c r="M257" s="9" t="str">
        <f>IFERROR(IF(J257="","",VLOOKUP(J257,Lists!$K$2:$O$61,3,FALSE)),"")</f>
        <v/>
      </c>
      <c r="N257" s="10"/>
      <c r="O257" s="10"/>
      <c r="P257" s="6"/>
      <c r="Q257" s="10"/>
      <c r="R257" s="6"/>
    </row>
    <row r="258" spans="1:18" x14ac:dyDescent="0.25">
      <c r="A258" s="8"/>
      <c r="B258" s="9" t="str">
        <f>IF(A258="","","W"&amp;(INT((A258-Lists!$B$2)/7)+1))</f>
        <v/>
      </c>
      <c r="C258" s="10"/>
      <c r="D258" s="10"/>
      <c r="E258" s="9" t="str">
        <f t="shared" ref="E258:E321" si="4">IF(OR(C258="",D258=""),"",IF(C258=D258,"SELF-REVIEW","OK"))</f>
        <v/>
      </c>
      <c r="F258" s="11"/>
      <c r="G258" s="10"/>
      <c r="H258" s="10"/>
      <c r="I258" s="10"/>
      <c r="J258" s="10"/>
      <c r="K258" s="12" t="str">
        <f>IFERROR(IF(J258="","",VLOOKUP(J258,Lists!$K$2:$O$61,5,FALSE)),"")</f>
        <v/>
      </c>
      <c r="L258" s="9" t="str">
        <f>IFERROR(IF(J258="","",VLOOKUP(J258,Lists!$K$2:$O$61,2,FALSE)),"")</f>
        <v/>
      </c>
      <c r="M258" s="9" t="str">
        <f>IFERROR(IF(J258="","",VLOOKUP(J258,Lists!$K$2:$O$61,3,FALSE)),"")</f>
        <v/>
      </c>
      <c r="N258" s="10"/>
      <c r="O258" s="10"/>
      <c r="P258" s="6"/>
      <c r="Q258" s="10"/>
      <c r="R258" s="6"/>
    </row>
    <row r="259" spans="1:18" x14ac:dyDescent="0.25">
      <c r="A259" s="8"/>
      <c r="B259" s="9" t="str">
        <f>IF(A259="","","W"&amp;(INT((A259-Lists!$B$2)/7)+1))</f>
        <v/>
      </c>
      <c r="C259" s="10"/>
      <c r="D259" s="10"/>
      <c r="E259" s="9" t="str">
        <f t="shared" si="4"/>
        <v/>
      </c>
      <c r="F259" s="11"/>
      <c r="G259" s="10"/>
      <c r="H259" s="10"/>
      <c r="I259" s="10"/>
      <c r="J259" s="10"/>
      <c r="K259" s="12" t="str">
        <f>IFERROR(IF(J259="","",VLOOKUP(J259,Lists!$K$2:$O$61,5,FALSE)),"")</f>
        <v/>
      </c>
      <c r="L259" s="9" t="str">
        <f>IFERROR(IF(J259="","",VLOOKUP(J259,Lists!$K$2:$O$61,2,FALSE)),"")</f>
        <v/>
      </c>
      <c r="M259" s="9" t="str">
        <f>IFERROR(IF(J259="","",VLOOKUP(J259,Lists!$K$2:$O$61,3,FALSE)),"")</f>
        <v/>
      </c>
      <c r="N259" s="10"/>
      <c r="O259" s="10"/>
      <c r="P259" s="6"/>
      <c r="Q259" s="10"/>
      <c r="R259" s="6"/>
    </row>
    <row r="260" spans="1:18" x14ac:dyDescent="0.25">
      <c r="A260" s="8"/>
      <c r="B260" s="9" t="str">
        <f>IF(A260="","","W"&amp;(INT((A260-Lists!$B$2)/7)+1))</f>
        <v/>
      </c>
      <c r="C260" s="10"/>
      <c r="D260" s="10"/>
      <c r="E260" s="9" t="str">
        <f t="shared" si="4"/>
        <v/>
      </c>
      <c r="F260" s="11"/>
      <c r="G260" s="10"/>
      <c r="H260" s="10"/>
      <c r="I260" s="10"/>
      <c r="J260" s="10"/>
      <c r="K260" s="12" t="str">
        <f>IFERROR(IF(J260="","",VLOOKUP(J260,Lists!$K$2:$O$61,5,FALSE)),"")</f>
        <v/>
      </c>
      <c r="L260" s="9" t="str">
        <f>IFERROR(IF(J260="","",VLOOKUP(J260,Lists!$K$2:$O$61,2,FALSE)),"")</f>
        <v/>
      </c>
      <c r="M260" s="9" t="str">
        <f>IFERROR(IF(J260="","",VLOOKUP(J260,Lists!$K$2:$O$61,3,FALSE)),"")</f>
        <v/>
      </c>
      <c r="N260" s="10"/>
      <c r="O260" s="10"/>
      <c r="P260" s="6"/>
      <c r="Q260" s="10"/>
      <c r="R260" s="6"/>
    </row>
    <row r="261" spans="1:18" x14ac:dyDescent="0.25">
      <c r="A261" s="8"/>
      <c r="B261" s="9" t="str">
        <f>IF(A261="","","W"&amp;(INT((A261-Lists!$B$2)/7)+1))</f>
        <v/>
      </c>
      <c r="C261" s="10"/>
      <c r="D261" s="10"/>
      <c r="E261" s="9" t="str">
        <f t="shared" si="4"/>
        <v/>
      </c>
      <c r="F261" s="11"/>
      <c r="G261" s="10"/>
      <c r="H261" s="10"/>
      <c r="I261" s="10"/>
      <c r="J261" s="10"/>
      <c r="K261" s="12" t="str">
        <f>IFERROR(IF(J261="","",VLOOKUP(J261,Lists!$K$2:$O$61,5,FALSE)),"")</f>
        <v/>
      </c>
      <c r="L261" s="9" t="str">
        <f>IFERROR(IF(J261="","",VLOOKUP(J261,Lists!$K$2:$O$61,2,FALSE)),"")</f>
        <v/>
      </c>
      <c r="M261" s="9" t="str">
        <f>IFERROR(IF(J261="","",VLOOKUP(J261,Lists!$K$2:$O$61,3,FALSE)),"")</f>
        <v/>
      </c>
      <c r="N261" s="10"/>
      <c r="O261" s="10"/>
      <c r="P261" s="6"/>
      <c r="Q261" s="10"/>
      <c r="R261" s="6"/>
    </row>
    <row r="262" spans="1:18" x14ac:dyDescent="0.25">
      <c r="A262" s="8"/>
      <c r="B262" s="9" t="str">
        <f>IF(A262="","","W"&amp;(INT((A262-Lists!$B$2)/7)+1))</f>
        <v/>
      </c>
      <c r="C262" s="10"/>
      <c r="D262" s="10"/>
      <c r="E262" s="9" t="str">
        <f t="shared" si="4"/>
        <v/>
      </c>
      <c r="F262" s="11"/>
      <c r="G262" s="10"/>
      <c r="H262" s="10"/>
      <c r="I262" s="10"/>
      <c r="J262" s="10"/>
      <c r="K262" s="12" t="str">
        <f>IFERROR(IF(J262="","",VLOOKUP(J262,Lists!$K$2:$O$61,5,FALSE)),"")</f>
        <v/>
      </c>
      <c r="L262" s="9" t="str">
        <f>IFERROR(IF(J262="","",VLOOKUP(J262,Lists!$K$2:$O$61,2,FALSE)),"")</f>
        <v/>
      </c>
      <c r="M262" s="9" t="str">
        <f>IFERROR(IF(J262="","",VLOOKUP(J262,Lists!$K$2:$O$61,3,FALSE)),"")</f>
        <v/>
      </c>
      <c r="N262" s="10"/>
      <c r="O262" s="10"/>
      <c r="P262" s="6"/>
      <c r="Q262" s="10"/>
      <c r="R262" s="6"/>
    </row>
    <row r="263" spans="1:18" x14ac:dyDescent="0.25">
      <c r="A263" s="8"/>
      <c r="B263" s="9" t="str">
        <f>IF(A263="","","W"&amp;(INT((A263-Lists!$B$2)/7)+1))</f>
        <v/>
      </c>
      <c r="C263" s="10"/>
      <c r="D263" s="10"/>
      <c r="E263" s="9" t="str">
        <f t="shared" si="4"/>
        <v/>
      </c>
      <c r="F263" s="11"/>
      <c r="G263" s="10"/>
      <c r="H263" s="10"/>
      <c r="I263" s="10"/>
      <c r="J263" s="10"/>
      <c r="K263" s="12" t="str">
        <f>IFERROR(IF(J263="","",VLOOKUP(J263,Lists!$K$2:$O$61,5,FALSE)),"")</f>
        <v/>
      </c>
      <c r="L263" s="9" t="str">
        <f>IFERROR(IF(J263="","",VLOOKUP(J263,Lists!$K$2:$O$61,2,FALSE)),"")</f>
        <v/>
      </c>
      <c r="M263" s="9" t="str">
        <f>IFERROR(IF(J263="","",VLOOKUP(J263,Lists!$K$2:$O$61,3,FALSE)),"")</f>
        <v/>
      </c>
      <c r="N263" s="10"/>
      <c r="O263" s="10"/>
      <c r="P263" s="6"/>
      <c r="Q263" s="10"/>
      <c r="R263" s="6"/>
    </row>
    <row r="264" spans="1:18" x14ac:dyDescent="0.25">
      <c r="A264" s="8"/>
      <c r="B264" s="9" t="str">
        <f>IF(A264="","","W"&amp;(INT((A264-Lists!$B$2)/7)+1))</f>
        <v/>
      </c>
      <c r="C264" s="10"/>
      <c r="D264" s="10"/>
      <c r="E264" s="9" t="str">
        <f t="shared" si="4"/>
        <v/>
      </c>
      <c r="F264" s="11"/>
      <c r="G264" s="10"/>
      <c r="H264" s="10"/>
      <c r="I264" s="10"/>
      <c r="J264" s="10"/>
      <c r="K264" s="12" t="str">
        <f>IFERROR(IF(J264="","",VLOOKUP(J264,Lists!$K$2:$O$61,5,FALSE)),"")</f>
        <v/>
      </c>
      <c r="L264" s="9" t="str">
        <f>IFERROR(IF(J264="","",VLOOKUP(J264,Lists!$K$2:$O$61,2,FALSE)),"")</f>
        <v/>
      </c>
      <c r="M264" s="9" t="str">
        <f>IFERROR(IF(J264="","",VLOOKUP(J264,Lists!$K$2:$O$61,3,FALSE)),"")</f>
        <v/>
      </c>
      <c r="N264" s="10"/>
      <c r="O264" s="10"/>
      <c r="P264" s="6"/>
      <c r="Q264" s="10"/>
      <c r="R264" s="6"/>
    </row>
    <row r="265" spans="1:18" x14ac:dyDescent="0.25">
      <c r="A265" s="8"/>
      <c r="B265" s="9" t="str">
        <f>IF(A265="","","W"&amp;(INT((A265-Lists!$B$2)/7)+1))</f>
        <v/>
      </c>
      <c r="C265" s="10"/>
      <c r="D265" s="10"/>
      <c r="E265" s="9" t="str">
        <f t="shared" si="4"/>
        <v/>
      </c>
      <c r="F265" s="11"/>
      <c r="G265" s="10"/>
      <c r="H265" s="10"/>
      <c r="I265" s="10"/>
      <c r="J265" s="10"/>
      <c r="K265" s="12" t="str">
        <f>IFERROR(IF(J265="","",VLOOKUP(J265,Lists!$K$2:$O$61,5,FALSE)),"")</f>
        <v/>
      </c>
      <c r="L265" s="9" t="str">
        <f>IFERROR(IF(J265="","",VLOOKUP(J265,Lists!$K$2:$O$61,2,FALSE)),"")</f>
        <v/>
      </c>
      <c r="M265" s="9" t="str">
        <f>IFERROR(IF(J265="","",VLOOKUP(J265,Lists!$K$2:$O$61,3,FALSE)),"")</f>
        <v/>
      </c>
      <c r="N265" s="10"/>
      <c r="O265" s="10"/>
      <c r="P265" s="6"/>
      <c r="Q265" s="10"/>
      <c r="R265" s="6"/>
    </row>
    <row r="266" spans="1:18" x14ac:dyDescent="0.25">
      <c r="A266" s="8"/>
      <c r="B266" s="9" t="str">
        <f>IF(A266="","","W"&amp;(INT((A266-Lists!$B$2)/7)+1))</f>
        <v/>
      </c>
      <c r="C266" s="10"/>
      <c r="D266" s="10"/>
      <c r="E266" s="9" t="str">
        <f t="shared" si="4"/>
        <v/>
      </c>
      <c r="F266" s="11"/>
      <c r="G266" s="10"/>
      <c r="H266" s="10"/>
      <c r="I266" s="10"/>
      <c r="J266" s="10"/>
      <c r="K266" s="12" t="str">
        <f>IFERROR(IF(J266="","",VLOOKUP(J266,Lists!$K$2:$O$61,5,FALSE)),"")</f>
        <v/>
      </c>
      <c r="L266" s="9" t="str">
        <f>IFERROR(IF(J266="","",VLOOKUP(J266,Lists!$K$2:$O$61,2,FALSE)),"")</f>
        <v/>
      </c>
      <c r="M266" s="9" t="str">
        <f>IFERROR(IF(J266="","",VLOOKUP(J266,Lists!$K$2:$O$61,3,FALSE)),"")</f>
        <v/>
      </c>
      <c r="N266" s="10"/>
      <c r="O266" s="10"/>
      <c r="P266" s="6"/>
      <c r="Q266" s="10"/>
      <c r="R266" s="6"/>
    </row>
    <row r="267" spans="1:18" x14ac:dyDescent="0.25">
      <c r="A267" s="8"/>
      <c r="B267" s="9" t="str">
        <f>IF(A267="","","W"&amp;(INT((A267-Lists!$B$2)/7)+1))</f>
        <v/>
      </c>
      <c r="C267" s="10"/>
      <c r="D267" s="10"/>
      <c r="E267" s="9" t="str">
        <f t="shared" si="4"/>
        <v/>
      </c>
      <c r="F267" s="11"/>
      <c r="G267" s="10"/>
      <c r="H267" s="10"/>
      <c r="I267" s="10"/>
      <c r="J267" s="10"/>
      <c r="K267" s="12" t="str">
        <f>IFERROR(IF(J267="","",VLOOKUP(J267,Lists!$K$2:$O$61,5,FALSE)),"")</f>
        <v/>
      </c>
      <c r="L267" s="9" t="str">
        <f>IFERROR(IF(J267="","",VLOOKUP(J267,Lists!$K$2:$O$61,2,FALSE)),"")</f>
        <v/>
      </c>
      <c r="M267" s="9" t="str">
        <f>IFERROR(IF(J267="","",VLOOKUP(J267,Lists!$K$2:$O$61,3,FALSE)),"")</f>
        <v/>
      </c>
      <c r="N267" s="10"/>
      <c r="O267" s="10"/>
      <c r="P267" s="6"/>
      <c r="Q267" s="10"/>
      <c r="R267" s="6"/>
    </row>
    <row r="268" spans="1:18" x14ac:dyDescent="0.25">
      <c r="A268" s="8"/>
      <c r="B268" s="9" t="str">
        <f>IF(A268="","","W"&amp;(INT((A268-Lists!$B$2)/7)+1))</f>
        <v/>
      </c>
      <c r="C268" s="10"/>
      <c r="D268" s="10"/>
      <c r="E268" s="9" t="str">
        <f t="shared" si="4"/>
        <v/>
      </c>
      <c r="F268" s="11"/>
      <c r="G268" s="10"/>
      <c r="H268" s="10"/>
      <c r="I268" s="10"/>
      <c r="J268" s="10"/>
      <c r="K268" s="12" t="str">
        <f>IFERROR(IF(J268="","",VLOOKUP(J268,Lists!$K$2:$O$61,5,FALSE)),"")</f>
        <v/>
      </c>
      <c r="L268" s="9" t="str">
        <f>IFERROR(IF(J268="","",VLOOKUP(J268,Lists!$K$2:$O$61,2,FALSE)),"")</f>
        <v/>
      </c>
      <c r="M268" s="9" t="str">
        <f>IFERROR(IF(J268="","",VLOOKUP(J268,Lists!$K$2:$O$61,3,FALSE)),"")</f>
        <v/>
      </c>
      <c r="N268" s="10"/>
      <c r="O268" s="10"/>
      <c r="P268" s="6"/>
      <c r="Q268" s="10"/>
      <c r="R268" s="6"/>
    </row>
    <row r="269" spans="1:18" x14ac:dyDescent="0.25">
      <c r="A269" s="8"/>
      <c r="B269" s="9" t="str">
        <f>IF(A269="","","W"&amp;(INT((A269-Lists!$B$2)/7)+1))</f>
        <v/>
      </c>
      <c r="C269" s="10"/>
      <c r="D269" s="10"/>
      <c r="E269" s="9" t="str">
        <f t="shared" si="4"/>
        <v/>
      </c>
      <c r="F269" s="11"/>
      <c r="G269" s="10"/>
      <c r="H269" s="10"/>
      <c r="I269" s="10"/>
      <c r="J269" s="10"/>
      <c r="K269" s="12" t="str">
        <f>IFERROR(IF(J269="","",VLOOKUP(J269,Lists!$K$2:$O$61,5,FALSE)),"")</f>
        <v/>
      </c>
      <c r="L269" s="9" t="str">
        <f>IFERROR(IF(J269="","",VLOOKUP(J269,Lists!$K$2:$O$61,2,FALSE)),"")</f>
        <v/>
      </c>
      <c r="M269" s="9" t="str">
        <f>IFERROR(IF(J269="","",VLOOKUP(J269,Lists!$K$2:$O$61,3,FALSE)),"")</f>
        <v/>
      </c>
      <c r="N269" s="10"/>
      <c r="O269" s="10"/>
      <c r="P269" s="6"/>
      <c r="Q269" s="10"/>
      <c r="R269" s="6"/>
    </row>
    <row r="270" spans="1:18" x14ac:dyDescent="0.25">
      <c r="A270" s="8"/>
      <c r="B270" s="9" t="str">
        <f>IF(A270="","","W"&amp;(INT((A270-Lists!$B$2)/7)+1))</f>
        <v/>
      </c>
      <c r="C270" s="10"/>
      <c r="D270" s="10"/>
      <c r="E270" s="9" t="str">
        <f t="shared" si="4"/>
        <v/>
      </c>
      <c r="F270" s="11"/>
      <c r="G270" s="10"/>
      <c r="H270" s="10"/>
      <c r="I270" s="10"/>
      <c r="J270" s="10"/>
      <c r="K270" s="12" t="str">
        <f>IFERROR(IF(J270="","",VLOOKUP(J270,Lists!$K$2:$O$61,5,FALSE)),"")</f>
        <v/>
      </c>
      <c r="L270" s="9" t="str">
        <f>IFERROR(IF(J270="","",VLOOKUP(J270,Lists!$K$2:$O$61,2,FALSE)),"")</f>
        <v/>
      </c>
      <c r="M270" s="9" t="str">
        <f>IFERROR(IF(J270="","",VLOOKUP(J270,Lists!$K$2:$O$61,3,FALSE)),"")</f>
        <v/>
      </c>
      <c r="N270" s="10"/>
      <c r="O270" s="10"/>
      <c r="P270" s="6"/>
      <c r="Q270" s="10"/>
      <c r="R270" s="6"/>
    </row>
    <row r="271" spans="1:18" x14ac:dyDescent="0.25">
      <c r="A271" s="8"/>
      <c r="B271" s="9" t="str">
        <f>IF(A271="","","W"&amp;(INT((A271-Lists!$B$2)/7)+1))</f>
        <v/>
      </c>
      <c r="C271" s="10"/>
      <c r="D271" s="10"/>
      <c r="E271" s="9" t="str">
        <f t="shared" si="4"/>
        <v/>
      </c>
      <c r="F271" s="11"/>
      <c r="G271" s="10"/>
      <c r="H271" s="10"/>
      <c r="I271" s="10"/>
      <c r="J271" s="10"/>
      <c r="K271" s="12" t="str">
        <f>IFERROR(IF(J271="","",VLOOKUP(J271,Lists!$K$2:$O$61,5,FALSE)),"")</f>
        <v/>
      </c>
      <c r="L271" s="9" t="str">
        <f>IFERROR(IF(J271="","",VLOOKUP(J271,Lists!$K$2:$O$61,2,FALSE)),"")</f>
        <v/>
      </c>
      <c r="M271" s="9" t="str">
        <f>IFERROR(IF(J271="","",VLOOKUP(J271,Lists!$K$2:$O$61,3,FALSE)),"")</f>
        <v/>
      </c>
      <c r="N271" s="10"/>
      <c r="O271" s="10"/>
      <c r="P271" s="6"/>
      <c r="Q271" s="10"/>
      <c r="R271" s="6"/>
    </row>
    <row r="272" spans="1:18" x14ac:dyDescent="0.25">
      <c r="A272" s="8"/>
      <c r="B272" s="9" t="str">
        <f>IF(A272="","","W"&amp;(INT((A272-Lists!$B$2)/7)+1))</f>
        <v/>
      </c>
      <c r="C272" s="10"/>
      <c r="D272" s="10"/>
      <c r="E272" s="9" t="str">
        <f t="shared" si="4"/>
        <v/>
      </c>
      <c r="F272" s="11"/>
      <c r="G272" s="10"/>
      <c r="H272" s="10"/>
      <c r="I272" s="10"/>
      <c r="J272" s="10"/>
      <c r="K272" s="12" t="str">
        <f>IFERROR(IF(J272="","",VLOOKUP(J272,Lists!$K$2:$O$61,5,FALSE)),"")</f>
        <v/>
      </c>
      <c r="L272" s="9" t="str">
        <f>IFERROR(IF(J272="","",VLOOKUP(J272,Lists!$K$2:$O$61,2,FALSE)),"")</f>
        <v/>
      </c>
      <c r="M272" s="9" t="str">
        <f>IFERROR(IF(J272="","",VLOOKUP(J272,Lists!$K$2:$O$61,3,FALSE)),"")</f>
        <v/>
      </c>
      <c r="N272" s="10"/>
      <c r="O272" s="10"/>
      <c r="P272" s="6"/>
      <c r="Q272" s="10"/>
      <c r="R272" s="6"/>
    </row>
    <row r="273" spans="1:18" x14ac:dyDescent="0.25">
      <c r="A273" s="8"/>
      <c r="B273" s="9" t="str">
        <f>IF(A273="","","W"&amp;(INT((A273-Lists!$B$2)/7)+1))</f>
        <v/>
      </c>
      <c r="C273" s="10"/>
      <c r="D273" s="10"/>
      <c r="E273" s="9" t="str">
        <f t="shared" si="4"/>
        <v/>
      </c>
      <c r="F273" s="11"/>
      <c r="G273" s="10"/>
      <c r="H273" s="10"/>
      <c r="I273" s="10"/>
      <c r="J273" s="10"/>
      <c r="K273" s="12" t="str">
        <f>IFERROR(IF(J273="","",VLOOKUP(J273,Lists!$K$2:$O$61,5,FALSE)),"")</f>
        <v/>
      </c>
      <c r="L273" s="9" t="str">
        <f>IFERROR(IF(J273="","",VLOOKUP(J273,Lists!$K$2:$O$61,2,FALSE)),"")</f>
        <v/>
      </c>
      <c r="M273" s="9" t="str">
        <f>IFERROR(IF(J273="","",VLOOKUP(J273,Lists!$K$2:$O$61,3,FALSE)),"")</f>
        <v/>
      </c>
      <c r="N273" s="10"/>
      <c r="O273" s="10"/>
      <c r="P273" s="6"/>
      <c r="Q273" s="10"/>
      <c r="R273" s="6"/>
    </row>
    <row r="274" spans="1:18" x14ac:dyDescent="0.25">
      <c r="A274" s="8"/>
      <c r="B274" s="9" t="str">
        <f>IF(A274="","","W"&amp;(INT((A274-Lists!$B$2)/7)+1))</f>
        <v/>
      </c>
      <c r="C274" s="10"/>
      <c r="D274" s="10"/>
      <c r="E274" s="9" t="str">
        <f t="shared" si="4"/>
        <v/>
      </c>
      <c r="F274" s="11"/>
      <c r="G274" s="10"/>
      <c r="H274" s="10"/>
      <c r="I274" s="10"/>
      <c r="J274" s="10"/>
      <c r="K274" s="12" t="str">
        <f>IFERROR(IF(J274="","",VLOOKUP(J274,Lists!$K$2:$O$61,5,FALSE)),"")</f>
        <v/>
      </c>
      <c r="L274" s="9" t="str">
        <f>IFERROR(IF(J274="","",VLOOKUP(J274,Lists!$K$2:$O$61,2,FALSE)),"")</f>
        <v/>
      </c>
      <c r="M274" s="9" t="str">
        <f>IFERROR(IF(J274="","",VLOOKUP(J274,Lists!$K$2:$O$61,3,FALSE)),"")</f>
        <v/>
      </c>
      <c r="N274" s="10"/>
      <c r="O274" s="10"/>
      <c r="P274" s="6"/>
      <c r="Q274" s="10"/>
      <c r="R274" s="6"/>
    </row>
    <row r="275" spans="1:18" x14ac:dyDescent="0.25">
      <c r="A275" s="8"/>
      <c r="B275" s="9" t="str">
        <f>IF(A275="","","W"&amp;(INT((A275-Lists!$B$2)/7)+1))</f>
        <v/>
      </c>
      <c r="C275" s="10"/>
      <c r="D275" s="10"/>
      <c r="E275" s="9" t="str">
        <f t="shared" si="4"/>
        <v/>
      </c>
      <c r="F275" s="11"/>
      <c r="G275" s="10"/>
      <c r="H275" s="10"/>
      <c r="I275" s="10"/>
      <c r="J275" s="10"/>
      <c r="K275" s="12" t="str">
        <f>IFERROR(IF(J275="","",VLOOKUP(J275,Lists!$K$2:$O$61,5,FALSE)),"")</f>
        <v/>
      </c>
      <c r="L275" s="9" t="str">
        <f>IFERROR(IF(J275="","",VLOOKUP(J275,Lists!$K$2:$O$61,2,FALSE)),"")</f>
        <v/>
      </c>
      <c r="M275" s="9" t="str">
        <f>IFERROR(IF(J275="","",VLOOKUP(J275,Lists!$K$2:$O$61,3,FALSE)),"")</f>
        <v/>
      </c>
      <c r="N275" s="10"/>
      <c r="O275" s="10"/>
      <c r="P275" s="6"/>
      <c r="Q275" s="10"/>
      <c r="R275" s="6"/>
    </row>
    <row r="276" spans="1:18" x14ac:dyDescent="0.25">
      <c r="A276" s="8"/>
      <c r="B276" s="9" t="str">
        <f>IF(A276="","","W"&amp;(INT((A276-Lists!$B$2)/7)+1))</f>
        <v/>
      </c>
      <c r="C276" s="10"/>
      <c r="D276" s="10"/>
      <c r="E276" s="9" t="str">
        <f t="shared" si="4"/>
        <v/>
      </c>
      <c r="F276" s="11"/>
      <c r="G276" s="10"/>
      <c r="H276" s="10"/>
      <c r="I276" s="10"/>
      <c r="J276" s="10"/>
      <c r="K276" s="12" t="str">
        <f>IFERROR(IF(J276="","",VLOOKUP(J276,Lists!$K$2:$O$61,5,FALSE)),"")</f>
        <v/>
      </c>
      <c r="L276" s="9" t="str">
        <f>IFERROR(IF(J276="","",VLOOKUP(J276,Lists!$K$2:$O$61,2,FALSE)),"")</f>
        <v/>
      </c>
      <c r="M276" s="9" t="str">
        <f>IFERROR(IF(J276="","",VLOOKUP(J276,Lists!$K$2:$O$61,3,FALSE)),"")</f>
        <v/>
      </c>
      <c r="N276" s="10"/>
      <c r="O276" s="10"/>
      <c r="P276" s="6"/>
      <c r="Q276" s="10"/>
      <c r="R276" s="6"/>
    </row>
    <row r="277" spans="1:18" x14ac:dyDescent="0.25">
      <c r="A277" s="8"/>
      <c r="B277" s="9" t="str">
        <f>IF(A277="","","W"&amp;(INT((A277-Lists!$B$2)/7)+1))</f>
        <v/>
      </c>
      <c r="C277" s="10"/>
      <c r="D277" s="10"/>
      <c r="E277" s="9" t="str">
        <f t="shared" si="4"/>
        <v/>
      </c>
      <c r="F277" s="11"/>
      <c r="G277" s="10"/>
      <c r="H277" s="10"/>
      <c r="I277" s="10"/>
      <c r="J277" s="10"/>
      <c r="K277" s="12" t="str">
        <f>IFERROR(IF(J277="","",VLOOKUP(J277,Lists!$K$2:$O$61,5,FALSE)),"")</f>
        <v/>
      </c>
      <c r="L277" s="9" t="str">
        <f>IFERROR(IF(J277="","",VLOOKUP(J277,Lists!$K$2:$O$61,2,FALSE)),"")</f>
        <v/>
      </c>
      <c r="M277" s="9" t="str">
        <f>IFERROR(IF(J277="","",VLOOKUP(J277,Lists!$K$2:$O$61,3,FALSE)),"")</f>
        <v/>
      </c>
      <c r="N277" s="10"/>
      <c r="O277" s="10"/>
      <c r="P277" s="6"/>
      <c r="Q277" s="10"/>
      <c r="R277" s="6"/>
    </row>
    <row r="278" spans="1:18" x14ac:dyDescent="0.25">
      <c r="A278" s="8"/>
      <c r="B278" s="9" t="str">
        <f>IF(A278="","","W"&amp;(INT((A278-Lists!$B$2)/7)+1))</f>
        <v/>
      </c>
      <c r="C278" s="10"/>
      <c r="D278" s="10"/>
      <c r="E278" s="9" t="str">
        <f t="shared" si="4"/>
        <v/>
      </c>
      <c r="F278" s="11"/>
      <c r="G278" s="10"/>
      <c r="H278" s="10"/>
      <c r="I278" s="10"/>
      <c r="J278" s="10"/>
      <c r="K278" s="12" t="str">
        <f>IFERROR(IF(J278="","",VLOOKUP(J278,Lists!$K$2:$O$61,5,FALSE)),"")</f>
        <v/>
      </c>
      <c r="L278" s="9" t="str">
        <f>IFERROR(IF(J278="","",VLOOKUP(J278,Lists!$K$2:$O$61,2,FALSE)),"")</f>
        <v/>
      </c>
      <c r="M278" s="9" t="str">
        <f>IFERROR(IF(J278="","",VLOOKUP(J278,Lists!$K$2:$O$61,3,FALSE)),"")</f>
        <v/>
      </c>
      <c r="N278" s="10"/>
      <c r="O278" s="10"/>
      <c r="P278" s="6"/>
      <c r="Q278" s="10"/>
      <c r="R278" s="6"/>
    </row>
    <row r="279" spans="1:18" x14ac:dyDescent="0.25">
      <c r="A279" s="8"/>
      <c r="B279" s="9" t="str">
        <f>IF(A279="","","W"&amp;(INT((A279-Lists!$B$2)/7)+1))</f>
        <v/>
      </c>
      <c r="C279" s="10"/>
      <c r="D279" s="10"/>
      <c r="E279" s="9" t="str">
        <f t="shared" si="4"/>
        <v/>
      </c>
      <c r="F279" s="11"/>
      <c r="G279" s="10"/>
      <c r="H279" s="10"/>
      <c r="I279" s="10"/>
      <c r="J279" s="10"/>
      <c r="K279" s="12" t="str">
        <f>IFERROR(IF(J279="","",VLOOKUP(J279,Lists!$K$2:$O$61,5,FALSE)),"")</f>
        <v/>
      </c>
      <c r="L279" s="9" t="str">
        <f>IFERROR(IF(J279="","",VLOOKUP(J279,Lists!$K$2:$O$61,2,FALSE)),"")</f>
        <v/>
      </c>
      <c r="M279" s="9" t="str">
        <f>IFERROR(IF(J279="","",VLOOKUP(J279,Lists!$K$2:$O$61,3,FALSE)),"")</f>
        <v/>
      </c>
      <c r="N279" s="10"/>
      <c r="O279" s="10"/>
      <c r="P279" s="6"/>
      <c r="Q279" s="10"/>
      <c r="R279" s="6"/>
    </row>
    <row r="280" spans="1:18" x14ac:dyDescent="0.25">
      <c r="A280" s="8"/>
      <c r="B280" s="9" t="str">
        <f>IF(A280="","","W"&amp;(INT((A280-Lists!$B$2)/7)+1))</f>
        <v/>
      </c>
      <c r="C280" s="10"/>
      <c r="D280" s="10"/>
      <c r="E280" s="9" t="str">
        <f t="shared" si="4"/>
        <v/>
      </c>
      <c r="F280" s="11"/>
      <c r="G280" s="10"/>
      <c r="H280" s="10"/>
      <c r="I280" s="10"/>
      <c r="J280" s="10"/>
      <c r="K280" s="12" t="str">
        <f>IFERROR(IF(J280="","",VLOOKUP(J280,Lists!$K$2:$O$61,5,FALSE)),"")</f>
        <v/>
      </c>
      <c r="L280" s="9" t="str">
        <f>IFERROR(IF(J280="","",VLOOKUP(J280,Lists!$K$2:$O$61,2,FALSE)),"")</f>
        <v/>
      </c>
      <c r="M280" s="9" t="str">
        <f>IFERROR(IF(J280="","",VLOOKUP(J280,Lists!$K$2:$O$61,3,FALSE)),"")</f>
        <v/>
      </c>
      <c r="N280" s="10"/>
      <c r="O280" s="10"/>
      <c r="P280" s="6"/>
      <c r="Q280" s="10"/>
      <c r="R280" s="6"/>
    </row>
    <row r="281" spans="1:18" x14ac:dyDescent="0.25">
      <c r="A281" s="8"/>
      <c r="B281" s="9" t="str">
        <f>IF(A281="","","W"&amp;(INT((A281-Lists!$B$2)/7)+1))</f>
        <v/>
      </c>
      <c r="C281" s="10"/>
      <c r="D281" s="10"/>
      <c r="E281" s="9" t="str">
        <f t="shared" si="4"/>
        <v/>
      </c>
      <c r="F281" s="11"/>
      <c r="G281" s="10"/>
      <c r="H281" s="10"/>
      <c r="I281" s="10"/>
      <c r="J281" s="10"/>
      <c r="K281" s="12" t="str">
        <f>IFERROR(IF(J281="","",VLOOKUP(J281,Lists!$K$2:$O$61,5,FALSE)),"")</f>
        <v/>
      </c>
      <c r="L281" s="9" t="str">
        <f>IFERROR(IF(J281="","",VLOOKUP(J281,Lists!$K$2:$O$61,2,FALSE)),"")</f>
        <v/>
      </c>
      <c r="M281" s="9" t="str">
        <f>IFERROR(IF(J281="","",VLOOKUP(J281,Lists!$K$2:$O$61,3,FALSE)),"")</f>
        <v/>
      </c>
      <c r="N281" s="10"/>
      <c r="O281" s="10"/>
      <c r="P281" s="6"/>
      <c r="Q281" s="10"/>
      <c r="R281" s="6"/>
    </row>
    <row r="282" spans="1:18" x14ac:dyDescent="0.25">
      <c r="A282" s="8"/>
      <c r="B282" s="9" t="str">
        <f>IF(A282="","","W"&amp;(INT((A282-Lists!$B$2)/7)+1))</f>
        <v/>
      </c>
      <c r="C282" s="10"/>
      <c r="D282" s="10"/>
      <c r="E282" s="9" t="str">
        <f t="shared" si="4"/>
        <v/>
      </c>
      <c r="F282" s="11"/>
      <c r="G282" s="10"/>
      <c r="H282" s="10"/>
      <c r="I282" s="10"/>
      <c r="J282" s="10"/>
      <c r="K282" s="12" t="str">
        <f>IFERROR(IF(J282="","",VLOOKUP(J282,Lists!$K$2:$O$61,5,FALSE)),"")</f>
        <v/>
      </c>
      <c r="L282" s="9" t="str">
        <f>IFERROR(IF(J282="","",VLOOKUP(J282,Lists!$K$2:$O$61,2,FALSE)),"")</f>
        <v/>
      </c>
      <c r="M282" s="9" t="str">
        <f>IFERROR(IF(J282="","",VLOOKUP(J282,Lists!$K$2:$O$61,3,FALSE)),"")</f>
        <v/>
      </c>
      <c r="N282" s="10"/>
      <c r="O282" s="10"/>
      <c r="P282" s="6"/>
      <c r="Q282" s="10"/>
      <c r="R282" s="6"/>
    </row>
    <row r="283" spans="1:18" x14ac:dyDescent="0.25">
      <c r="A283" s="8"/>
      <c r="B283" s="9" t="str">
        <f>IF(A283="","","W"&amp;(INT((A283-Lists!$B$2)/7)+1))</f>
        <v/>
      </c>
      <c r="C283" s="10"/>
      <c r="D283" s="10"/>
      <c r="E283" s="9" t="str">
        <f t="shared" si="4"/>
        <v/>
      </c>
      <c r="F283" s="11"/>
      <c r="G283" s="10"/>
      <c r="H283" s="10"/>
      <c r="I283" s="10"/>
      <c r="J283" s="10"/>
      <c r="K283" s="12" t="str">
        <f>IFERROR(IF(J283="","",VLOOKUP(J283,Lists!$K$2:$O$61,5,FALSE)),"")</f>
        <v/>
      </c>
      <c r="L283" s="9" t="str">
        <f>IFERROR(IF(J283="","",VLOOKUP(J283,Lists!$K$2:$O$61,2,FALSE)),"")</f>
        <v/>
      </c>
      <c r="M283" s="9" t="str">
        <f>IFERROR(IF(J283="","",VLOOKUP(J283,Lists!$K$2:$O$61,3,FALSE)),"")</f>
        <v/>
      </c>
      <c r="N283" s="10"/>
      <c r="O283" s="10"/>
      <c r="P283" s="6"/>
      <c r="Q283" s="10"/>
      <c r="R283" s="6"/>
    </row>
    <row r="284" spans="1:18" x14ac:dyDescent="0.25">
      <c r="A284" s="8"/>
      <c r="B284" s="9" t="str">
        <f>IF(A284="","","W"&amp;(INT((A284-Lists!$B$2)/7)+1))</f>
        <v/>
      </c>
      <c r="C284" s="10"/>
      <c r="D284" s="10"/>
      <c r="E284" s="9" t="str">
        <f t="shared" si="4"/>
        <v/>
      </c>
      <c r="F284" s="11"/>
      <c r="G284" s="10"/>
      <c r="H284" s="10"/>
      <c r="I284" s="10"/>
      <c r="J284" s="10"/>
      <c r="K284" s="12" t="str">
        <f>IFERROR(IF(J284="","",VLOOKUP(J284,Lists!$K$2:$O$61,5,FALSE)),"")</f>
        <v/>
      </c>
      <c r="L284" s="9" t="str">
        <f>IFERROR(IF(J284="","",VLOOKUP(J284,Lists!$K$2:$O$61,2,FALSE)),"")</f>
        <v/>
      </c>
      <c r="M284" s="9" t="str">
        <f>IFERROR(IF(J284="","",VLOOKUP(J284,Lists!$K$2:$O$61,3,FALSE)),"")</f>
        <v/>
      </c>
      <c r="N284" s="10"/>
      <c r="O284" s="10"/>
      <c r="P284" s="6"/>
      <c r="Q284" s="10"/>
      <c r="R284" s="6"/>
    </row>
    <row r="285" spans="1:18" x14ac:dyDescent="0.25">
      <c r="A285" s="8"/>
      <c r="B285" s="9" t="str">
        <f>IF(A285="","","W"&amp;(INT((A285-Lists!$B$2)/7)+1))</f>
        <v/>
      </c>
      <c r="C285" s="10"/>
      <c r="D285" s="10"/>
      <c r="E285" s="9" t="str">
        <f t="shared" si="4"/>
        <v/>
      </c>
      <c r="F285" s="11"/>
      <c r="G285" s="10"/>
      <c r="H285" s="10"/>
      <c r="I285" s="10"/>
      <c r="J285" s="10"/>
      <c r="K285" s="12" t="str">
        <f>IFERROR(IF(J285="","",VLOOKUP(J285,Lists!$K$2:$O$61,5,FALSE)),"")</f>
        <v/>
      </c>
      <c r="L285" s="9" t="str">
        <f>IFERROR(IF(J285="","",VLOOKUP(J285,Lists!$K$2:$O$61,2,FALSE)),"")</f>
        <v/>
      </c>
      <c r="M285" s="9" t="str">
        <f>IFERROR(IF(J285="","",VLOOKUP(J285,Lists!$K$2:$O$61,3,FALSE)),"")</f>
        <v/>
      </c>
      <c r="N285" s="10"/>
      <c r="O285" s="10"/>
      <c r="P285" s="6"/>
      <c r="Q285" s="10"/>
      <c r="R285" s="6"/>
    </row>
    <row r="286" spans="1:18" x14ac:dyDescent="0.25">
      <c r="A286" s="8"/>
      <c r="B286" s="9" t="str">
        <f>IF(A286="","","W"&amp;(INT((A286-Lists!$B$2)/7)+1))</f>
        <v/>
      </c>
      <c r="C286" s="10"/>
      <c r="D286" s="10"/>
      <c r="E286" s="9" t="str">
        <f t="shared" si="4"/>
        <v/>
      </c>
      <c r="F286" s="11"/>
      <c r="G286" s="10"/>
      <c r="H286" s="10"/>
      <c r="I286" s="10"/>
      <c r="J286" s="10"/>
      <c r="K286" s="12" t="str">
        <f>IFERROR(IF(J286="","",VLOOKUP(J286,Lists!$K$2:$O$61,5,FALSE)),"")</f>
        <v/>
      </c>
      <c r="L286" s="9" t="str">
        <f>IFERROR(IF(J286="","",VLOOKUP(J286,Lists!$K$2:$O$61,2,FALSE)),"")</f>
        <v/>
      </c>
      <c r="M286" s="9" t="str">
        <f>IFERROR(IF(J286="","",VLOOKUP(J286,Lists!$K$2:$O$61,3,FALSE)),"")</f>
        <v/>
      </c>
      <c r="N286" s="10"/>
      <c r="O286" s="10"/>
      <c r="P286" s="6"/>
      <c r="Q286" s="10"/>
      <c r="R286" s="6"/>
    </row>
    <row r="287" spans="1:18" x14ac:dyDescent="0.25">
      <c r="A287" s="8"/>
      <c r="B287" s="9" t="str">
        <f>IF(A287="","","W"&amp;(INT((A287-Lists!$B$2)/7)+1))</f>
        <v/>
      </c>
      <c r="C287" s="10"/>
      <c r="D287" s="10"/>
      <c r="E287" s="9" t="str">
        <f t="shared" si="4"/>
        <v/>
      </c>
      <c r="F287" s="11"/>
      <c r="G287" s="10"/>
      <c r="H287" s="10"/>
      <c r="I287" s="10"/>
      <c r="J287" s="10"/>
      <c r="K287" s="12" t="str">
        <f>IFERROR(IF(J287="","",VLOOKUP(J287,Lists!$K$2:$O$61,5,FALSE)),"")</f>
        <v/>
      </c>
      <c r="L287" s="9" t="str">
        <f>IFERROR(IF(J287="","",VLOOKUP(J287,Lists!$K$2:$O$61,2,FALSE)),"")</f>
        <v/>
      </c>
      <c r="M287" s="9" t="str">
        <f>IFERROR(IF(J287="","",VLOOKUP(J287,Lists!$K$2:$O$61,3,FALSE)),"")</f>
        <v/>
      </c>
      <c r="N287" s="10"/>
      <c r="O287" s="10"/>
      <c r="P287" s="6"/>
      <c r="Q287" s="10"/>
      <c r="R287" s="6"/>
    </row>
    <row r="288" spans="1:18" x14ac:dyDescent="0.25">
      <c r="A288" s="8"/>
      <c r="B288" s="9" t="str">
        <f>IF(A288="","","W"&amp;(INT((A288-Lists!$B$2)/7)+1))</f>
        <v/>
      </c>
      <c r="C288" s="10"/>
      <c r="D288" s="10"/>
      <c r="E288" s="9" t="str">
        <f t="shared" si="4"/>
        <v/>
      </c>
      <c r="F288" s="11"/>
      <c r="G288" s="10"/>
      <c r="H288" s="10"/>
      <c r="I288" s="10"/>
      <c r="J288" s="10"/>
      <c r="K288" s="12" t="str">
        <f>IFERROR(IF(J288="","",VLOOKUP(J288,Lists!$K$2:$O$61,5,FALSE)),"")</f>
        <v/>
      </c>
      <c r="L288" s="9" t="str">
        <f>IFERROR(IF(J288="","",VLOOKUP(J288,Lists!$K$2:$O$61,2,FALSE)),"")</f>
        <v/>
      </c>
      <c r="M288" s="9" t="str">
        <f>IFERROR(IF(J288="","",VLOOKUP(J288,Lists!$K$2:$O$61,3,FALSE)),"")</f>
        <v/>
      </c>
      <c r="N288" s="10"/>
      <c r="O288" s="10"/>
      <c r="P288" s="6"/>
      <c r="Q288" s="10"/>
      <c r="R288" s="6"/>
    </row>
    <row r="289" spans="1:18" x14ac:dyDescent="0.25">
      <c r="A289" s="8"/>
      <c r="B289" s="9" t="str">
        <f>IF(A289="","","W"&amp;(INT((A289-Lists!$B$2)/7)+1))</f>
        <v/>
      </c>
      <c r="C289" s="10"/>
      <c r="D289" s="10"/>
      <c r="E289" s="9" t="str">
        <f t="shared" si="4"/>
        <v/>
      </c>
      <c r="F289" s="11"/>
      <c r="G289" s="10"/>
      <c r="H289" s="10"/>
      <c r="I289" s="10"/>
      <c r="J289" s="10"/>
      <c r="K289" s="12" t="str">
        <f>IFERROR(IF(J289="","",VLOOKUP(J289,Lists!$K$2:$O$61,5,FALSE)),"")</f>
        <v/>
      </c>
      <c r="L289" s="9" t="str">
        <f>IFERROR(IF(J289="","",VLOOKUP(J289,Lists!$K$2:$O$61,2,FALSE)),"")</f>
        <v/>
      </c>
      <c r="M289" s="9" t="str">
        <f>IFERROR(IF(J289="","",VLOOKUP(J289,Lists!$K$2:$O$61,3,FALSE)),"")</f>
        <v/>
      </c>
      <c r="N289" s="10"/>
      <c r="O289" s="10"/>
      <c r="P289" s="6"/>
      <c r="Q289" s="10"/>
      <c r="R289" s="6"/>
    </row>
    <row r="290" spans="1:18" x14ac:dyDescent="0.25">
      <c r="A290" s="8"/>
      <c r="B290" s="9" t="str">
        <f>IF(A290="","","W"&amp;(INT((A290-Lists!$B$2)/7)+1))</f>
        <v/>
      </c>
      <c r="C290" s="10"/>
      <c r="D290" s="10"/>
      <c r="E290" s="9" t="str">
        <f t="shared" si="4"/>
        <v/>
      </c>
      <c r="F290" s="11"/>
      <c r="G290" s="10"/>
      <c r="H290" s="10"/>
      <c r="I290" s="10"/>
      <c r="J290" s="10"/>
      <c r="K290" s="12" t="str">
        <f>IFERROR(IF(J290="","",VLOOKUP(J290,Lists!$K$2:$O$61,5,FALSE)),"")</f>
        <v/>
      </c>
      <c r="L290" s="9" t="str">
        <f>IFERROR(IF(J290="","",VLOOKUP(J290,Lists!$K$2:$O$61,2,FALSE)),"")</f>
        <v/>
      </c>
      <c r="M290" s="9" t="str">
        <f>IFERROR(IF(J290="","",VLOOKUP(J290,Lists!$K$2:$O$61,3,FALSE)),"")</f>
        <v/>
      </c>
      <c r="N290" s="10"/>
      <c r="O290" s="10"/>
      <c r="P290" s="6"/>
      <c r="Q290" s="10"/>
      <c r="R290" s="6"/>
    </row>
    <row r="291" spans="1:18" x14ac:dyDescent="0.25">
      <c r="A291" s="8"/>
      <c r="B291" s="9" t="str">
        <f>IF(A291="","","W"&amp;(INT((A291-Lists!$B$2)/7)+1))</f>
        <v/>
      </c>
      <c r="C291" s="10"/>
      <c r="D291" s="10"/>
      <c r="E291" s="9" t="str">
        <f t="shared" si="4"/>
        <v/>
      </c>
      <c r="F291" s="11"/>
      <c r="G291" s="10"/>
      <c r="H291" s="10"/>
      <c r="I291" s="10"/>
      <c r="J291" s="10"/>
      <c r="K291" s="12" t="str">
        <f>IFERROR(IF(J291="","",VLOOKUP(J291,Lists!$K$2:$O$61,5,FALSE)),"")</f>
        <v/>
      </c>
      <c r="L291" s="9" t="str">
        <f>IFERROR(IF(J291="","",VLOOKUP(J291,Lists!$K$2:$O$61,2,FALSE)),"")</f>
        <v/>
      </c>
      <c r="M291" s="9" t="str">
        <f>IFERROR(IF(J291="","",VLOOKUP(J291,Lists!$K$2:$O$61,3,FALSE)),"")</f>
        <v/>
      </c>
      <c r="N291" s="10"/>
      <c r="O291" s="10"/>
      <c r="P291" s="6"/>
      <c r="Q291" s="10"/>
      <c r="R291" s="6"/>
    </row>
    <row r="292" spans="1:18" x14ac:dyDescent="0.25">
      <c r="A292" s="8"/>
      <c r="B292" s="9" t="str">
        <f>IF(A292="","","W"&amp;(INT((A292-Lists!$B$2)/7)+1))</f>
        <v/>
      </c>
      <c r="C292" s="10"/>
      <c r="D292" s="10"/>
      <c r="E292" s="9" t="str">
        <f t="shared" si="4"/>
        <v/>
      </c>
      <c r="F292" s="11"/>
      <c r="G292" s="10"/>
      <c r="H292" s="10"/>
      <c r="I292" s="10"/>
      <c r="J292" s="10"/>
      <c r="K292" s="12" t="str">
        <f>IFERROR(IF(J292="","",VLOOKUP(J292,Lists!$K$2:$O$61,5,FALSE)),"")</f>
        <v/>
      </c>
      <c r="L292" s="9" t="str">
        <f>IFERROR(IF(J292="","",VLOOKUP(J292,Lists!$K$2:$O$61,2,FALSE)),"")</f>
        <v/>
      </c>
      <c r="M292" s="9" t="str">
        <f>IFERROR(IF(J292="","",VLOOKUP(J292,Lists!$K$2:$O$61,3,FALSE)),"")</f>
        <v/>
      </c>
      <c r="N292" s="10"/>
      <c r="O292" s="10"/>
      <c r="P292" s="6"/>
      <c r="Q292" s="10"/>
      <c r="R292" s="6"/>
    </row>
    <row r="293" spans="1:18" x14ac:dyDescent="0.25">
      <c r="A293" s="8"/>
      <c r="B293" s="9" t="str">
        <f>IF(A293="","","W"&amp;(INT((A293-Lists!$B$2)/7)+1))</f>
        <v/>
      </c>
      <c r="C293" s="10"/>
      <c r="D293" s="10"/>
      <c r="E293" s="9" t="str">
        <f t="shared" si="4"/>
        <v/>
      </c>
      <c r="F293" s="11"/>
      <c r="G293" s="10"/>
      <c r="H293" s="10"/>
      <c r="I293" s="10"/>
      <c r="J293" s="10"/>
      <c r="K293" s="12" t="str">
        <f>IFERROR(IF(J293="","",VLOOKUP(J293,Lists!$K$2:$O$61,5,FALSE)),"")</f>
        <v/>
      </c>
      <c r="L293" s="9" t="str">
        <f>IFERROR(IF(J293="","",VLOOKUP(J293,Lists!$K$2:$O$61,2,FALSE)),"")</f>
        <v/>
      </c>
      <c r="M293" s="9" t="str">
        <f>IFERROR(IF(J293="","",VLOOKUP(J293,Lists!$K$2:$O$61,3,FALSE)),"")</f>
        <v/>
      </c>
      <c r="N293" s="10"/>
      <c r="O293" s="10"/>
      <c r="P293" s="6"/>
      <c r="Q293" s="10"/>
      <c r="R293" s="6"/>
    </row>
    <row r="294" spans="1:18" x14ac:dyDescent="0.25">
      <c r="A294" s="8"/>
      <c r="B294" s="9" t="str">
        <f>IF(A294="","","W"&amp;(INT((A294-Lists!$B$2)/7)+1))</f>
        <v/>
      </c>
      <c r="C294" s="10"/>
      <c r="D294" s="10"/>
      <c r="E294" s="9" t="str">
        <f t="shared" si="4"/>
        <v/>
      </c>
      <c r="F294" s="11"/>
      <c r="G294" s="10"/>
      <c r="H294" s="10"/>
      <c r="I294" s="10"/>
      <c r="J294" s="10"/>
      <c r="K294" s="12" t="str">
        <f>IFERROR(IF(J294="","",VLOOKUP(J294,Lists!$K$2:$O$61,5,FALSE)),"")</f>
        <v/>
      </c>
      <c r="L294" s="9" t="str">
        <f>IFERROR(IF(J294="","",VLOOKUP(J294,Lists!$K$2:$O$61,2,FALSE)),"")</f>
        <v/>
      </c>
      <c r="M294" s="9" t="str">
        <f>IFERROR(IF(J294="","",VLOOKUP(J294,Lists!$K$2:$O$61,3,FALSE)),"")</f>
        <v/>
      </c>
      <c r="N294" s="10"/>
      <c r="O294" s="10"/>
      <c r="P294" s="6"/>
      <c r="Q294" s="10"/>
      <c r="R294" s="6"/>
    </row>
    <row r="295" spans="1:18" x14ac:dyDescent="0.25">
      <c r="A295" s="8"/>
      <c r="B295" s="9" t="str">
        <f>IF(A295="","","W"&amp;(INT((A295-Lists!$B$2)/7)+1))</f>
        <v/>
      </c>
      <c r="C295" s="10"/>
      <c r="D295" s="10"/>
      <c r="E295" s="9" t="str">
        <f t="shared" si="4"/>
        <v/>
      </c>
      <c r="F295" s="11"/>
      <c r="G295" s="10"/>
      <c r="H295" s="10"/>
      <c r="I295" s="10"/>
      <c r="J295" s="10"/>
      <c r="K295" s="12" t="str">
        <f>IFERROR(IF(J295="","",VLOOKUP(J295,Lists!$K$2:$O$61,5,FALSE)),"")</f>
        <v/>
      </c>
      <c r="L295" s="9" t="str">
        <f>IFERROR(IF(J295="","",VLOOKUP(J295,Lists!$K$2:$O$61,2,FALSE)),"")</f>
        <v/>
      </c>
      <c r="M295" s="9" t="str">
        <f>IFERROR(IF(J295="","",VLOOKUP(J295,Lists!$K$2:$O$61,3,FALSE)),"")</f>
        <v/>
      </c>
      <c r="N295" s="10"/>
      <c r="O295" s="10"/>
      <c r="P295" s="6"/>
      <c r="Q295" s="10"/>
      <c r="R295" s="6"/>
    </row>
    <row r="296" spans="1:18" x14ac:dyDescent="0.25">
      <c r="A296" s="8"/>
      <c r="B296" s="9" t="str">
        <f>IF(A296="","","W"&amp;(INT((A296-Lists!$B$2)/7)+1))</f>
        <v/>
      </c>
      <c r="C296" s="10"/>
      <c r="D296" s="10"/>
      <c r="E296" s="9" t="str">
        <f t="shared" si="4"/>
        <v/>
      </c>
      <c r="F296" s="11"/>
      <c r="G296" s="10"/>
      <c r="H296" s="10"/>
      <c r="I296" s="10"/>
      <c r="J296" s="10"/>
      <c r="K296" s="12" t="str">
        <f>IFERROR(IF(J296="","",VLOOKUP(J296,Lists!$K$2:$O$61,5,FALSE)),"")</f>
        <v/>
      </c>
      <c r="L296" s="9" t="str">
        <f>IFERROR(IF(J296="","",VLOOKUP(J296,Lists!$K$2:$O$61,2,FALSE)),"")</f>
        <v/>
      </c>
      <c r="M296" s="9" t="str">
        <f>IFERROR(IF(J296="","",VLOOKUP(J296,Lists!$K$2:$O$61,3,FALSE)),"")</f>
        <v/>
      </c>
      <c r="N296" s="10"/>
      <c r="O296" s="10"/>
      <c r="P296" s="6"/>
      <c r="Q296" s="10"/>
      <c r="R296" s="6"/>
    </row>
    <row r="297" spans="1:18" x14ac:dyDescent="0.25">
      <c r="A297" s="8"/>
      <c r="B297" s="9" t="str">
        <f>IF(A297="","","W"&amp;(INT((A297-Lists!$B$2)/7)+1))</f>
        <v/>
      </c>
      <c r="C297" s="10"/>
      <c r="D297" s="10"/>
      <c r="E297" s="9" t="str">
        <f t="shared" si="4"/>
        <v/>
      </c>
      <c r="F297" s="11"/>
      <c r="G297" s="10"/>
      <c r="H297" s="10"/>
      <c r="I297" s="10"/>
      <c r="J297" s="10"/>
      <c r="K297" s="12" t="str">
        <f>IFERROR(IF(J297="","",VLOOKUP(J297,Lists!$K$2:$O$61,5,FALSE)),"")</f>
        <v/>
      </c>
      <c r="L297" s="9" t="str">
        <f>IFERROR(IF(J297="","",VLOOKUP(J297,Lists!$K$2:$O$61,2,FALSE)),"")</f>
        <v/>
      </c>
      <c r="M297" s="9" t="str">
        <f>IFERROR(IF(J297="","",VLOOKUP(J297,Lists!$K$2:$O$61,3,FALSE)),"")</f>
        <v/>
      </c>
      <c r="N297" s="10"/>
      <c r="O297" s="10"/>
      <c r="P297" s="6"/>
      <c r="Q297" s="10"/>
      <c r="R297" s="6"/>
    </row>
    <row r="298" spans="1:18" x14ac:dyDescent="0.25">
      <c r="A298" s="8"/>
      <c r="B298" s="9" t="str">
        <f>IF(A298="","","W"&amp;(INT((A298-Lists!$B$2)/7)+1))</f>
        <v/>
      </c>
      <c r="C298" s="10"/>
      <c r="D298" s="10"/>
      <c r="E298" s="9" t="str">
        <f t="shared" si="4"/>
        <v/>
      </c>
      <c r="F298" s="11"/>
      <c r="G298" s="10"/>
      <c r="H298" s="10"/>
      <c r="I298" s="10"/>
      <c r="J298" s="10"/>
      <c r="K298" s="12" t="str">
        <f>IFERROR(IF(J298="","",VLOOKUP(J298,Lists!$K$2:$O$61,5,FALSE)),"")</f>
        <v/>
      </c>
      <c r="L298" s="9" t="str">
        <f>IFERROR(IF(J298="","",VLOOKUP(J298,Lists!$K$2:$O$61,2,FALSE)),"")</f>
        <v/>
      </c>
      <c r="M298" s="9" t="str">
        <f>IFERROR(IF(J298="","",VLOOKUP(J298,Lists!$K$2:$O$61,3,FALSE)),"")</f>
        <v/>
      </c>
      <c r="N298" s="10"/>
      <c r="O298" s="10"/>
      <c r="P298" s="6"/>
      <c r="Q298" s="10"/>
      <c r="R298" s="6"/>
    </row>
    <row r="299" spans="1:18" x14ac:dyDescent="0.25">
      <c r="A299" s="8"/>
      <c r="B299" s="9" t="str">
        <f>IF(A299="","","W"&amp;(INT((A299-Lists!$B$2)/7)+1))</f>
        <v/>
      </c>
      <c r="C299" s="10"/>
      <c r="D299" s="10"/>
      <c r="E299" s="9" t="str">
        <f t="shared" si="4"/>
        <v/>
      </c>
      <c r="F299" s="11"/>
      <c r="G299" s="10"/>
      <c r="H299" s="10"/>
      <c r="I299" s="10"/>
      <c r="J299" s="10"/>
      <c r="K299" s="12" t="str">
        <f>IFERROR(IF(J299="","",VLOOKUP(J299,Lists!$K$2:$O$61,5,FALSE)),"")</f>
        <v/>
      </c>
      <c r="L299" s="9" t="str">
        <f>IFERROR(IF(J299="","",VLOOKUP(J299,Lists!$K$2:$O$61,2,FALSE)),"")</f>
        <v/>
      </c>
      <c r="M299" s="9" t="str">
        <f>IFERROR(IF(J299="","",VLOOKUP(J299,Lists!$K$2:$O$61,3,FALSE)),"")</f>
        <v/>
      </c>
      <c r="N299" s="10"/>
      <c r="O299" s="10"/>
      <c r="P299" s="6"/>
      <c r="Q299" s="10"/>
      <c r="R299" s="6"/>
    </row>
    <row r="300" spans="1:18" x14ac:dyDescent="0.25">
      <c r="A300" s="8"/>
      <c r="B300" s="9" t="str">
        <f>IF(A300="","","W"&amp;(INT((A300-Lists!$B$2)/7)+1))</f>
        <v/>
      </c>
      <c r="C300" s="10"/>
      <c r="D300" s="10"/>
      <c r="E300" s="9" t="str">
        <f t="shared" si="4"/>
        <v/>
      </c>
      <c r="F300" s="11"/>
      <c r="G300" s="10"/>
      <c r="H300" s="10"/>
      <c r="I300" s="10"/>
      <c r="J300" s="10"/>
      <c r="K300" s="12" t="str">
        <f>IFERROR(IF(J300="","",VLOOKUP(J300,Lists!$K$2:$O$61,5,FALSE)),"")</f>
        <v/>
      </c>
      <c r="L300" s="9" t="str">
        <f>IFERROR(IF(J300="","",VLOOKUP(J300,Lists!$K$2:$O$61,2,FALSE)),"")</f>
        <v/>
      </c>
      <c r="M300" s="9" t="str">
        <f>IFERROR(IF(J300="","",VLOOKUP(J300,Lists!$K$2:$O$61,3,FALSE)),"")</f>
        <v/>
      </c>
      <c r="N300" s="10"/>
      <c r="O300" s="10"/>
      <c r="P300" s="6"/>
      <c r="Q300" s="10"/>
      <c r="R300" s="6"/>
    </row>
    <row r="301" spans="1:18" x14ac:dyDescent="0.25">
      <c r="A301" s="8"/>
      <c r="B301" s="9" t="str">
        <f>IF(A301="","","W"&amp;(INT((A301-Lists!$B$2)/7)+1))</f>
        <v/>
      </c>
      <c r="C301" s="10"/>
      <c r="D301" s="10"/>
      <c r="E301" s="9" t="str">
        <f t="shared" si="4"/>
        <v/>
      </c>
      <c r="F301" s="11"/>
      <c r="G301" s="10"/>
      <c r="H301" s="10"/>
      <c r="I301" s="10"/>
      <c r="J301" s="10"/>
      <c r="K301" s="12" t="str">
        <f>IFERROR(IF(J301="","",VLOOKUP(J301,Lists!$K$2:$O$61,5,FALSE)),"")</f>
        <v/>
      </c>
      <c r="L301" s="9" t="str">
        <f>IFERROR(IF(J301="","",VLOOKUP(J301,Lists!$K$2:$O$61,2,FALSE)),"")</f>
        <v/>
      </c>
      <c r="M301" s="9" t="str">
        <f>IFERROR(IF(J301="","",VLOOKUP(J301,Lists!$K$2:$O$61,3,FALSE)),"")</f>
        <v/>
      </c>
      <c r="N301" s="10"/>
      <c r="O301" s="10"/>
      <c r="P301" s="6"/>
      <c r="Q301" s="10"/>
      <c r="R301" s="6"/>
    </row>
    <row r="302" spans="1:18" x14ac:dyDescent="0.25">
      <c r="A302" s="8"/>
      <c r="B302" s="9" t="str">
        <f>IF(A302="","","W"&amp;(INT((A302-Lists!$B$2)/7)+1))</f>
        <v/>
      </c>
      <c r="C302" s="10"/>
      <c r="D302" s="10"/>
      <c r="E302" s="9" t="str">
        <f t="shared" si="4"/>
        <v/>
      </c>
      <c r="F302" s="11"/>
      <c r="G302" s="10"/>
      <c r="H302" s="10"/>
      <c r="I302" s="10"/>
      <c r="J302" s="10"/>
      <c r="K302" s="12" t="str">
        <f>IFERROR(IF(J302="","",VLOOKUP(J302,Lists!$K$2:$O$61,5,FALSE)),"")</f>
        <v/>
      </c>
      <c r="L302" s="9" t="str">
        <f>IFERROR(IF(J302="","",VLOOKUP(J302,Lists!$K$2:$O$61,2,FALSE)),"")</f>
        <v/>
      </c>
      <c r="M302" s="9" t="str">
        <f>IFERROR(IF(J302="","",VLOOKUP(J302,Lists!$K$2:$O$61,3,FALSE)),"")</f>
        <v/>
      </c>
      <c r="N302" s="10"/>
      <c r="O302" s="10"/>
      <c r="P302" s="6"/>
      <c r="Q302" s="10"/>
      <c r="R302" s="6"/>
    </row>
    <row r="303" spans="1:18" x14ac:dyDescent="0.25">
      <c r="A303" s="8"/>
      <c r="B303" s="9" t="str">
        <f>IF(A303="","","W"&amp;(INT((A303-Lists!$B$2)/7)+1))</f>
        <v/>
      </c>
      <c r="C303" s="10"/>
      <c r="D303" s="10"/>
      <c r="E303" s="9" t="str">
        <f t="shared" si="4"/>
        <v/>
      </c>
      <c r="F303" s="11"/>
      <c r="G303" s="10"/>
      <c r="H303" s="10"/>
      <c r="I303" s="10"/>
      <c r="J303" s="10"/>
      <c r="K303" s="12" t="str">
        <f>IFERROR(IF(J303="","",VLOOKUP(J303,Lists!$K$2:$O$61,5,FALSE)),"")</f>
        <v/>
      </c>
      <c r="L303" s="9" t="str">
        <f>IFERROR(IF(J303="","",VLOOKUP(J303,Lists!$K$2:$O$61,2,FALSE)),"")</f>
        <v/>
      </c>
      <c r="M303" s="9" t="str">
        <f>IFERROR(IF(J303="","",VLOOKUP(J303,Lists!$K$2:$O$61,3,FALSE)),"")</f>
        <v/>
      </c>
      <c r="N303" s="10"/>
      <c r="O303" s="10"/>
      <c r="P303" s="6"/>
      <c r="Q303" s="10"/>
      <c r="R303" s="6"/>
    </row>
    <row r="304" spans="1:18" x14ac:dyDescent="0.25">
      <c r="A304" s="8"/>
      <c r="B304" s="9" t="str">
        <f>IF(A304="","","W"&amp;(INT((A304-Lists!$B$2)/7)+1))</f>
        <v/>
      </c>
      <c r="C304" s="10"/>
      <c r="D304" s="10"/>
      <c r="E304" s="9" t="str">
        <f t="shared" si="4"/>
        <v/>
      </c>
      <c r="F304" s="11"/>
      <c r="G304" s="10"/>
      <c r="H304" s="10"/>
      <c r="I304" s="10"/>
      <c r="J304" s="10"/>
      <c r="K304" s="12" t="str">
        <f>IFERROR(IF(J304="","",VLOOKUP(J304,Lists!$K$2:$O$61,5,FALSE)),"")</f>
        <v/>
      </c>
      <c r="L304" s="9" t="str">
        <f>IFERROR(IF(J304="","",VLOOKUP(J304,Lists!$K$2:$O$61,2,FALSE)),"")</f>
        <v/>
      </c>
      <c r="M304" s="9" t="str">
        <f>IFERROR(IF(J304="","",VLOOKUP(J304,Lists!$K$2:$O$61,3,FALSE)),"")</f>
        <v/>
      </c>
      <c r="N304" s="10"/>
      <c r="O304" s="10"/>
      <c r="P304" s="6"/>
      <c r="Q304" s="10"/>
      <c r="R304" s="6"/>
    </row>
    <row r="305" spans="1:18" x14ac:dyDescent="0.25">
      <c r="A305" s="8"/>
      <c r="B305" s="9" t="str">
        <f>IF(A305="","","W"&amp;(INT((A305-Lists!$B$2)/7)+1))</f>
        <v/>
      </c>
      <c r="C305" s="10"/>
      <c r="D305" s="10"/>
      <c r="E305" s="9" t="str">
        <f t="shared" si="4"/>
        <v/>
      </c>
      <c r="F305" s="11"/>
      <c r="G305" s="10"/>
      <c r="H305" s="10"/>
      <c r="I305" s="10"/>
      <c r="J305" s="10"/>
      <c r="K305" s="12" t="str">
        <f>IFERROR(IF(J305="","",VLOOKUP(J305,Lists!$K$2:$O$61,5,FALSE)),"")</f>
        <v/>
      </c>
      <c r="L305" s="9" t="str">
        <f>IFERROR(IF(J305="","",VLOOKUP(J305,Lists!$K$2:$O$61,2,FALSE)),"")</f>
        <v/>
      </c>
      <c r="M305" s="9" t="str">
        <f>IFERROR(IF(J305="","",VLOOKUP(J305,Lists!$K$2:$O$61,3,FALSE)),"")</f>
        <v/>
      </c>
      <c r="N305" s="10"/>
      <c r="O305" s="10"/>
      <c r="P305" s="6"/>
      <c r="Q305" s="10"/>
      <c r="R305" s="6"/>
    </row>
    <row r="306" spans="1:18" x14ac:dyDescent="0.25">
      <c r="A306" s="8"/>
      <c r="B306" s="9" t="str">
        <f>IF(A306="","","W"&amp;(INT((A306-Lists!$B$2)/7)+1))</f>
        <v/>
      </c>
      <c r="C306" s="10"/>
      <c r="D306" s="10"/>
      <c r="E306" s="9" t="str">
        <f t="shared" si="4"/>
        <v/>
      </c>
      <c r="F306" s="11"/>
      <c r="G306" s="10"/>
      <c r="H306" s="10"/>
      <c r="I306" s="10"/>
      <c r="J306" s="10"/>
      <c r="K306" s="12" t="str">
        <f>IFERROR(IF(J306="","",VLOOKUP(J306,Lists!$K$2:$O$61,5,FALSE)),"")</f>
        <v/>
      </c>
      <c r="L306" s="9" t="str">
        <f>IFERROR(IF(J306="","",VLOOKUP(J306,Lists!$K$2:$O$61,2,FALSE)),"")</f>
        <v/>
      </c>
      <c r="M306" s="9" t="str">
        <f>IFERROR(IF(J306="","",VLOOKUP(J306,Lists!$K$2:$O$61,3,FALSE)),"")</f>
        <v/>
      </c>
      <c r="N306" s="10"/>
      <c r="O306" s="10"/>
      <c r="P306" s="6"/>
      <c r="Q306" s="10"/>
      <c r="R306" s="6"/>
    </row>
    <row r="307" spans="1:18" x14ac:dyDescent="0.25">
      <c r="A307" s="8"/>
      <c r="B307" s="9" t="str">
        <f>IF(A307="","","W"&amp;(INT((A307-Lists!$B$2)/7)+1))</f>
        <v/>
      </c>
      <c r="C307" s="10"/>
      <c r="D307" s="10"/>
      <c r="E307" s="9" t="str">
        <f t="shared" si="4"/>
        <v/>
      </c>
      <c r="F307" s="11"/>
      <c r="G307" s="10"/>
      <c r="H307" s="10"/>
      <c r="I307" s="10"/>
      <c r="J307" s="10"/>
      <c r="K307" s="12" t="str">
        <f>IFERROR(IF(J307="","",VLOOKUP(J307,Lists!$K$2:$O$61,5,FALSE)),"")</f>
        <v/>
      </c>
      <c r="L307" s="9" t="str">
        <f>IFERROR(IF(J307="","",VLOOKUP(J307,Lists!$K$2:$O$61,2,FALSE)),"")</f>
        <v/>
      </c>
      <c r="M307" s="9" t="str">
        <f>IFERROR(IF(J307="","",VLOOKUP(J307,Lists!$K$2:$O$61,3,FALSE)),"")</f>
        <v/>
      </c>
      <c r="N307" s="10"/>
      <c r="O307" s="10"/>
      <c r="P307" s="6"/>
      <c r="Q307" s="10"/>
      <c r="R307" s="6"/>
    </row>
    <row r="308" spans="1:18" x14ac:dyDescent="0.25">
      <c r="A308" s="8"/>
      <c r="B308" s="9" t="str">
        <f>IF(A308="","","W"&amp;(INT((A308-Lists!$B$2)/7)+1))</f>
        <v/>
      </c>
      <c r="C308" s="10"/>
      <c r="D308" s="10"/>
      <c r="E308" s="9" t="str">
        <f t="shared" si="4"/>
        <v/>
      </c>
      <c r="F308" s="11"/>
      <c r="G308" s="10"/>
      <c r="H308" s="10"/>
      <c r="I308" s="10"/>
      <c r="J308" s="10"/>
      <c r="K308" s="12" t="str">
        <f>IFERROR(IF(J308="","",VLOOKUP(J308,Lists!$K$2:$O$61,5,FALSE)),"")</f>
        <v/>
      </c>
      <c r="L308" s="9" t="str">
        <f>IFERROR(IF(J308="","",VLOOKUP(J308,Lists!$K$2:$O$61,2,FALSE)),"")</f>
        <v/>
      </c>
      <c r="M308" s="9" t="str">
        <f>IFERROR(IF(J308="","",VLOOKUP(J308,Lists!$K$2:$O$61,3,FALSE)),"")</f>
        <v/>
      </c>
      <c r="N308" s="10"/>
      <c r="O308" s="10"/>
      <c r="P308" s="6"/>
      <c r="Q308" s="10"/>
      <c r="R308" s="6"/>
    </row>
    <row r="309" spans="1:18" x14ac:dyDescent="0.25">
      <c r="A309" s="8"/>
      <c r="B309" s="9" t="str">
        <f>IF(A309="","","W"&amp;(INT((A309-Lists!$B$2)/7)+1))</f>
        <v/>
      </c>
      <c r="C309" s="10"/>
      <c r="D309" s="10"/>
      <c r="E309" s="9" t="str">
        <f t="shared" si="4"/>
        <v/>
      </c>
      <c r="F309" s="11"/>
      <c r="G309" s="10"/>
      <c r="H309" s="10"/>
      <c r="I309" s="10"/>
      <c r="J309" s="10"/>
      <c r="K309" s="12" t="str">
        <f>IFERROR(IF(J309="","",VLOOKUP(J309,Lists!$K$2:$O$61,5,FALSE)),"")</f>
        <v/>
      </c>
      <c r="L309" s="9" t="str">
        <f>IFERROR(IF(J309="","",VLOOKUP(J309,Lists!$K$2:$O$61,2,FALSE)),"")</f>
        <v/>
      </c>
      <c r="M309" s="9" t="str">
        <f>IFERROR(IF(J309="","",VLOOKUP(J309,Lists!$K$2:$O$61,3,FALSE)),"")</f>
        <v/>
      </c>
      <c r="N309" s="10"/>
      <c r="O309" s="10"/>
      <c r="P309" s="6"/>
      <c r="Q309" s="10"/>
      <c r="R309" s="6"/>
    </row>
    <row r="310" spans="1:18" x14ac:dyDescent="0.25">
      <c r="A310" s="8"/>
      <c r="B310" s="9" t="str">
        <f>IF(A310="","","W"&amp;(INT((A310-Lists!$B$2)/7)+1))</f>
        <v/>
      </c>
      <c r="C310" s="10"/>
      <c r="D310" s="10"/>
      <c r="E310" s="9" t="str">
        <f t="shared" si="4"/>
        <v/>
      </c>
      <c r="F310" s="11"/>
      <c r="G310" s="10"/>
      <c r="H310" s="10"/>
      <c r="I310" s="10"/>
      <c r="J310" s="10"/>
      <c r="K310" s="12" t="str">
        <f>IFERROR(IF(J310="","",VLOOKUP(J310,Lists!$K$2:$O$61,5,FALSE)),"")</f>
        <v/>
      </c>
      <c r="L310" s="9" t="str">
        <f>IFERROR(IF(J310="","",VLOOKUP(J310,Lists!$K$2:$O$61,2,FALSE)),"")</f>
        <v/>
      </c>
      <c r="M310" s="9" t="str">
        <f>IFERROR(IF(J310="","",VLOOKUP(J310,Lists!$K$2:$O$61,3,FALSE)),"")</f>
        <v/>
      </c>
      <c r="N310" s="10"/>
      <c r="O310" s="10"/>
      <c r="P310" s="6"/>
      <c r="Q310" s="10"/>
      <c r="R310" s="6"/>
    </row>
    <row r="311" spans="1:18" x14ac:dyDescent="0.25">
      <c r="A311" s="8"/>
      <c r="B311" s="9" t="str">
        <f>IF(A311="","","W"&amp;(INT((A311-Lists!$B$2)/7)+1))</f>
        <v/>
      </c>
      <c r="C311" s="10"/>
      <c r="D311" s="10"/>
      <c r="E311" s="9" t="str">
        <f t="shared" si="4"/>
        <v/>
      </c>
      <c r="F311" s="11"/>
      <c r="G311" s="10"/>
      <c r="H311" s="10"/>
      <c r="I311" s="10"/>
      <c r="J311" s="10"/>
      <c r="K311" s="12" t="str">
        <f>IFERROR(IF(J311="","",VLOOKUP(J311,Lists!$K$2:$O$61,5,FALSE)),"")</f>
        <v/>
      </c>
      <c r="L311" s="9" t="str">
        <f>IFERROR(IF(J311="","",VLOOKUP(J311,Lists!$K$2:$O$61,2,FALSE)),"")</f>
        <v/>
      </c>
      <c r="M311" s="9" t="str">
        <f>IFERROR(IF(J311="","",VLOOKUP(J311,Lists!$K$2:$O$61,3,FALSE)),"")</f>
        <v/>
      </c>
      <c r="N311" s="10"/>
      <c r="O311" s="10"/>
      <c r="P311" s="6"/>
      <c r="Q311" s="10"/>
      <c r="R311" s="6"/>
    </row>
    <row r="312" spans="1:18" x14ac:dyDescent="0.25">
      <c r="A312" s="8"/>
      <c r="B312" s="9" t="str">
        <f>IF(A312="","","W"&amp;(INT((A312-Lists!$B$2)/7)+1))</f>
        <v/>
      </c>
      <c r="C312" s="10"/>
      <c r="D312" s="10"/>
      <c r="E312" s="9" t="str">
        <f t="shared" si="4"/>
        <v/>
      </c>
      <c r="F312" s="11"/>
      <c r="G312" s="10"/>
      <c r="H312" s="10"/>
      <c r="I312" s="10"/>
      <c r="J312" s="10"/>
      <c r="K312" s="12" t="str">
        <f>IFERROR(IF(J312="","",VLOOKUP(J312,Lists!$K$2:$O$61,5,FALSE)),"")</f>
        <v/>
      </c>
      <c r="L312" s="9" t="str">
        <f>IFERROR(IF(J312="","",VLOOKUP(J312,Lists!$K$2:$O$61,2,FALSE)),"")</f>
        <v/>
      </c>
      <c r="M312" s="9" t="str">
        <f>IFERROR(IF(J312="","",VLOOKUP(J312,Lists!$K$2:$O$61,3,FALSE)),"")</f>
        <v/>
      </c>
      <c r="N312" s="10"/>
      <c r="O312" s="10"/>
      <c r="P312" s="6"/>
      <c r="Q312" s="10"/>
      <c r="R312" s="6"/>
    </row>
    <row r="313" spans="1:18" x14ac:dyDescent="0.25">
      <c r="A313" s="8"/>
      <c r="B313" s="9" t="str">
        <f>IF(A313="","","W"&amp;(INT((A313-Lists!$B$2)/7)+1))</f>
        <v/>
      </c>
      <c r="C313" s="10"/>
      <c r="D313" s="10"/>
      <c r="E313" s="9" t="str">
        <f t="shared" si="4"/>
        <v/>
      </c>
      <c r="F313" s="11"/>
      <c r="G313" s="10"/>
      <c r="H313" s="10"/>
      <c r="I313" s="10"/>
      <c r="J313" s="10"/>
      <c r="K313" s="12" t="str">
        <f>IFERROR(IF(J313="","",VLOOKUP(J313,Lists!$K$2:$O$61,5,FALSE)),"")</f>
        <v/>
      </c>
      <c r="L313" s="9" t="str">
        <f>IFERROR(IF(J313="","",VLOOKUP(J313,Lists!$K$2:$O$61,2,FALSE)),"")</f>
        <v/>
      </c>
      <c r="M313" s="9" t="str">
        <f>IFERROR(IF(J313="","",VLOOKUP(J313,Lists!$K$2:$O$61,3,FALSE)),"")</f>
        <v/>
      </c>
      <c r="N313" s="10"/>
      <c r="O313" s="10"/>
      <c r="P313" s="6"/>
      <c r="Q313" s="10"/>
      <c r="R313" s="6"/>
    </row>
    <row r="314" spans="1:18" x14ac:dyDescent="0.25">
      <c r="A314" s="8"/>
      <c r="B314" s="9" t="str">
        <f>IF(A314="","","W"&amp;(INT((A314-Lists!$B$2)/7)+1))</f>
        <v/>
      </c>
      <c r="C314" s="10"/>
      <c r="D314" s="10"/>
      <c r="E314" s="9" t="str">
        <f t="shared" si="4"/>
        <v/>
      </c>
      <c r="F314" s="11"/>
      <c r="G314" s="10"/>
      <c r="H314" s="10"/>
      <c r="I314" s="10"/>
      <c r="J314" s="10"/>
      <c r="K314" s="12" t="str">
        <f>IFERROR(IF(J314="","",VLOOKUP(J314,Lists!$K$2:$O$61,5,FALSE)),"")</f>
        <v/>
      </c>
      <c r="L314" s="9" t="str">
        <f>IFERROR(IF(J314="","",VLOOKUP(J314,Lists!$K$2:$O$61,2,FALSE)),"")</f>
        <v/>
      </c>
      <c r="M314" s="9" t="str">
        <f>IFERROR(IF(J314="","",VLOOKUP(J314,Lists!$K$2:$O$61,3,FALSE)),"")</f>
        <v/>
      </c>
      <c r="N314" s="10"/>
      <c r="O314" s="10"/>
      <c r="P314" s="6"/>
      <c r="Q314" s="10"/>
      <c r="R314" s="6"/>
    </row>
    <row r="315" spans="1:18" x14ac:dyDescent="0.25">
      <c r="A315" s="8"/>
      <c r="B315" s="9" t="str">
        <f>IF(A315="","","W"&amp;(INT((A315-Lists!$B$2)/7)+1))</f>
        <v/>
      </c>
      <c r="C315" s="10"/>
      <c r="D315" s="10"/>
      <c r="E315" s="9" t="str">
        <f t="shared" si="4"/>
        <v/>
      </c>
      <c r="F315" s="11"/>
      <c r="G315" s="10"/>
      <c r="H315" s="10"/>
      <c r="I315" s="10"/>
      <c r="J315" s="10"/>
      <c r="K315" s="12" t="str">
        <f>IFERROR(IF(J315="","",VLOOKUP(J315,Lists!$K$2:$O$61,5,FALSE)),"")</f>
        <v/>
      </c>
      <c r="L315" s="9" t="str">
        <f>IFERROR(IF(J315="","",VLOOKUP(J315,Lists!$K$2:$O$61,2,FALSE)),"")</f>
        <v/>
      </c>
      <c r="M315" s="9" t="str">
        <f>IFERROR(IF(J315="","",VLOOKUP(J315,Lists!$K$2:$O$61,3,FALSE)),"")</f>
        <v/>
      </c>
      <c r="N315" s="10"/>
      <c r="O315" s="10"/>
      <c r="P315" s="6"/>
      <c r="Q315" s="10"/>
      <c r="R315" s="6"/>
    </row>
    <row r="316" spans="1:18" x14ac:dyDescent="0.25">
      <c r="A316" s="8"/>
      <c r="B316" s="9" t="str">
        <f>IF(A316="","","W"&amp;(INT((A316-Lists!$B$2)/7)+1))</f>
        <v/>
      </c>
      <c r="C316" s="10"/>
      <c r="D316" s="10"/>
      <c r="E316" s="9" t="str">
        <f t="shared" si="4"/>
        <v/>
      </c>
      <c r="F316" s="11"/>
      <c r="G316" s="10"/>
      <c r="H316" s="10"/>
      <c r="I316" s="10"/>
      <c r="J316" s="10"/>
      <c r="K316" s="12" t="str">
        <f>IFERROR(IF(J316="","",VLOOKUP(J316,Lists!$K$2:$O$61,5,FALSE)),"")</f>
        <v/>
      </c>
      <c r="L316" s="9" t="str">
        <f>IFERROR(IF(J316="","",VLOOKUP(J316,Lists!$K$2:$O$61,2,FALSE)),"")</f>
        <v/>
      </c>
      <c r="M316" s="9" t="str">
        <f>IFERROR(IF(J316="","",VLOOKUP(J316,Lists!$K$2:$O$61,3,FALSE)),"")</f>
        <v/>
      </c>
      <c r="N316" s="10"/>
      <c r="O316" s="10"/>
      <c r="P316" s="6"/>
      <c r="Q316" s="10"/>
      <c r="R316" s="6"/>
    </row>
    <row r="317" spans="1:18" x14ac:dyDescent="0.25">
      <c r="A317" s="8"/>
      <c r="B317" s="9" t="str">
        <f>IF(A317="","","W"&amp;(INT((A317-Lists!$B$2)/7)+1))</f>
        <v/>
      </c>
      <c r="C317" s="10"/>
      <c r="D317" s="10"/>
      <c r="E317" s="9" t="str">
        <f t="shared" si="4"/>
        <v/>
      </c>
      <c r="F317" s="11"/>
      <c r="G317" s="10"/>
      <c r="H317" s="10"/>
      <c r="I317" s="10"/>
      <c r="J317" s="10"/>
      <c r="K317" s="12" t="str">
        <f>IFERROR(IF(J317="","",VLOOKUP(J317,Lists!$K$2:$O$61,5,FALSE)),"")</f>
        <v/>
      </c>
      <c r="L317" s="9" t="str">
        <f>IFERROR(IF(J317="","",VLOOKUP(J317,Lists!$K$2:$O$61,2,FALSE)),"")</f>
        <v/>
      </c>
      <c r="M317" s="9" t="str">
        <f>IFERROR(IF(J317="","",VLOOKUP(J317,Lists!$K$2:$O$61,3,FALSE)),"")</f>
        <v/>
      </c>
      <c r="N317" s="10"/>
      <c r="O317" s="10"/>
      <c r="P317" s="6"/>
      <c r="Q317" s="10"/>
      <c r="R317" s="6"/>
    </row>
    <row r="318" spans="1:18" x14ac:dyDescent="0.25">
      <c r="A318" s="8"/>
      <c r="B318" s="9" t="str">
        <f>IF(A318="","","W"&amp;(INT((A318-Lists!$B$2)/7)+1))</f>
        <v/>
      </c>
      <c r="C318" s="10"/>
      <c r="D318" s="10"/>
      <c r="E318" s="9" t="str">
        <f t="shared" si="4"/>
        <v/>
      </c>
      <c r="F318" s="11"/>
      <c r="G318" s="10"/>
      <c r="H318" s="10"/>
      <c r="I318" s="10"/>
      <c r="J318" s="10"/>
      <c r="K318" s="12" t="str">
        <f>IFERROR(IF(J318="","",VLOOKUP(J318,Lists!$K$2:$O$61,5,FALSE)),"")</f>
        <v/>
      </c>
      <c r="L318" s="9" t="str">
        <f>IFERROR(IF(J318="","",VLOOKUP(J318,Lists!$K$2:$O$61,2,FALSE)),"")</f>
        <v/>
      </c>
      <c r="M318" s="9" t="str">
        <f>IFERROR(IF(J318="","",VLOOKUP(J318,Lists!$K$2:$O$61,3,FALSE)),"")</f>
        <v/>
      </c>
      <c r="N318" s="10"/>
      <c r="O318" s="10"/>
      <c r="P318" s="6"/>
      <c r="Q318" s="10"/>
      <c r="R318" s="6"/>
    </row>
    <row r="319" spans="1:18" x14ac:dyDescent="0.25">
      <c r="A319" s="8"/>
      <c r="B319" s="9" t="str">
        <f>IF(A319="","","W"&amp;(INT((A319-Lists!$B$2)/7)+1))</f>
        <v/>
      </c>
      <c r="C319" s="10"/>
      <c r="D319" s="10"/>
      <c r="E319" s="9" t="str">
        <f t="shared" si="4"/>
        <v/>
      </c>
      <c r="F319" s="11"/>
      <c r="G319" s="10"/>
      <c r="H319" s="10"/>
      <c r="I319" s="10"/>
      <c r="J319" s="10"/>
      <c r="K319" s="12" t="str">
        <f>IFERROR(IF(J319="","",VLOOKUP(J319,Lists!$K$2:$O$61,5,FALSE)),"")</f>
        <v/>
      </c>
      <c r="L319" s="9" t="str">
        <f>IFERROR(IF(J319="","",VLOOKUP(J319,Lists!$K$2:$O$61,2,FALSE)),"")</f>
        <v/>
      </c>
      <c r="M319" s="9" t="str">
        <f>IFERROR(IF(J319="","",VLOOKUP(J319,Lists!$K$2:$O$61,3,FALSE)),"")</f>
        <v/>
      </c>
      <c r="N319" s="10"/>
      <c r="O319" s="10"/>
      <c r="P319" s="6"/>
      <c r="Q319" s="10"/>
      <c r="R319" s="6"/>
    </row>
    <row r="320" spans="1:18" x14ac:dyDescent="0.25">
      <c r="A320" s="8"/>
      <c r="B320" s="9" t="str">
        <f>IF(A320="","","W"&amp;(INT((A320-Lists!$B$2)/7)+1))</f>
        <v/>
      </c>
      <c r="C320" s="10"/>
      <c r="D320" s="10"/>
      <c r="E320" s="9" t="str">
        <f t="shared" si="4"/>
        <v/>
      </c>
      <c r="F320" s="11"/>
      <c r="G320" s="10"/>
      <c r="H320" s="10"/>
      <c r="I320" s="10"/>
      <c r="J320" s="10"/>
      <c r="K320" s="12" t="str">
        <f>IFERROR(IF(J320="","",VLOOKUP(J320,Lists!$K$2:$O$61,5,FALSE)),"")</f>
        <v/>
      </c>
      <c r="L320" s="9" t="str">
        <f>IFERROR(IF(J320="","",VLOOKUP(J320,Lists!$K$2:$O$61,2,FALSE)),"")</f>
        <v/>
      </c>
      <c r="M320" s="9" t="str">
        <f>IFERROR(IF(J320="","",VLOOKUP(J320,Lists!$K$2:$O$61,3,FALSE)),"")</f>
        <v/>
      </c>
      <c r="N320" s="10"/>
      <c r="O320" s="10"/>
      <c r="P320" s="6"/>
      <c r="Q320" s="10"/>
      <c r="R320" s="6"/>
    </row>
    <row r="321" spans="1:18" x14ac:dyDescent="0.25">
      <c r="A321" s="8"/>
      <c r="B321" s="9" t="str">
        <f>IF(A321="","","W"&amp;(INT((A321-Lists!$B$2)/7)+1))</f>
        <v/>
      </c>
      <c r="C321" s="10"/>
      <c r="D321" s="10"/>
      <c r="E321" s="9" t="str">
        <f t="shared" si="4"/>
        <v/>
      </c>
      <c r="F321" s="11"/>
      <c r="G321" s="10"/>
      <c r="H321" s="10"/>
      <c r="I321" s="10"/>
      <c r="J321" s="10"/>
      <c r="K321" s="12" t="str">
        <f>IFERROR(IF(J321="","",VLOOKUP(J321,Lists!$K$2:$O$61,5,FALSE)),"")</f>
        <v/>
      </c>
      <c r="L321" s="9" t="str">
        <f>IFERROR(IF(J321="","",VLOOKUP(J321,Lists!$K$2:$O$61,2,FALSE)),"")</f>
        <v/>
      </c>
      <c r="M321" s="9" t="str">
        <f>IFERROR(IF(J321="","",VLOOKUP(J321,Lists!$K$2:$O$61,3,FALSE)),"")</f>
        <v/>
      </c>
      <c r="N321" s="10"/>
      <c r="O321" s="10"/>
      <c r="P321" s="6"/>
      <c r="Q321" s="10"/>
      <c r="R321" s="6"/>
    </row>
    <row r="322" spans="1:18" x14ac:dyDescent="0.25">
      <c r="A322" s="8"/>
      <c r="B322" s="9" t="str">
        <f>IF(A322="","","W"&amp;(INT((A322-Lists!$B$2)/7)+1))</f>
        <v/>
      </c>
      <c r="C322" s="10"/>
      <c r="D322" s="10"/>
      <c r="E322" s="9" t="str">
        <f t="shared" ref="E322:E385" si="5">IF(OR(C322="",D322=""),"",IF(C322=D322,"SELF-REVIEW","OK"))</f>
        <v/>
      </c>
      <c r="F322" s="11"/>
      <c r="G322" s="10"/>
      <c r="H322" s="10"/>
      <c r="I322" s="10"/>
      <c r="J322" s="10"/>
      <c r="K322" s="12" t="str">
        <f>IFERROR(IF(J322="","",VLOOKUP(J322,Lists!$K$2:$O$61,5,FALSE)),"")</f>
        <v/>
      </c>
      <c r="L322" s="9" t="str">
        <f>IFERROR(IF(J322="","",VLOOKUP(J322,Lists!$K$2:$O$61,2,FALSE)),"")</f>
        <v/>
      </c>
      <c r="M322" s="9" t="str">
        <f>IFERROR(IF(J322="","",VLOOKUP(J322,Lists!$K$2:$O$61,3,FALSE)),"")</f>
        <v/>
      </c>
      <c r="N322" s="10"/>
      <c r="O322" s="10"/>
      <c r="P322" s="6"/>
      <c r="Q322" s="10"/>
      <c r="R322" s="6"/>
    </row>
    <row r="323" spans="1:18" x14ac:dyDescent="0.25">
      <c r="A323" s="8"/>
      <c r="B323" s="9" t="str">
        <f>IF(A323="","","W"&amp;(INT((A323-Lists!$B$2)/7)+1))</f>
        <v/>
      </c>
      <c r="C323" s="10"/>
      <c r="D323" s="10"/>
      <c r="E323" s="9" t="str">
        <f t="shared" si="5"/>
        <v/>
      </c>
      <c r="F323" s="11"/>
      <c r="G323" s="10"/>
      <c r="H323" s="10"/>
      <c r="I323" s="10"/>
      <c r="J323" s="10"/>
      <c r="K323" s="12" t="str">
        <f>IFERROR(IF(J323="","",VLOOKUP(J323,Lists!$K$2:$O$61,5,FALSE)),"")</f>
        <v/>
      </c>
      <c r="L323" s="9" t="str">
        <f>IFERROR(IF(J323="","",VLOOKUP(J323,Lists!$K$2:$O$61,2,FALSE)),"")</f>
        <v/>
      </c>
      <c r="M323" s="9" t="str">
        <f>IFERROR(IF(J323="","",VLOOKUP(J323,Lists!$K$2:$O$61,3,FALSE)),"")</f>
        <v/>
      </c>
      <c r="N323" s="10"/>
      <c r="O323" s="10"/>
      <c r="P323" s="6"/>
      <c r="Q323" s="10"/>
      <c r="R323" s="6"/>
    </row>
    <row r="324" spans="1:18" x14ac:dyDescent="0.25">
      <c r="A324" s="8"/>
      <c r="B324" s="9" t="str">
        <f>IF(A324="","","W"&amp;(INT((A324-Lists!$B$2)/7)+1))</f>
        <v/>
      </c>
      <c r="C324" s="10"/>
      <c r="D324" s="10"/>
      <c r="E324" s="9" t="str">
        <f t="shared" si="5"/>
        <v/>
      </c>
      <c r="F324" s="11"/>
      <c r="G324" s="10"/>
      <c r="H324" s="10"/>
      <c r="I324" s="10"/>
      <c r="J324" s="10"/>
      <c r="K324" s="12" t="str">
        <f>IFERROR(IF(J324="","",VLOOKUP(J324,Lists!$K$2:$O$61,5,FALSE)),"")</f>
        <v/>
      </c>
      <c r="L324" s="9" t="str">
        <f>IFERROR(IF(J324="","",VLOOKUP(J324,Lists!$K$2:$O$61,2,FALSE)),"")</f>
        <v/>
      </c>
      <c r="M324" s="9" t="str">
        <f>IFERROR(IF(J324="","",VLOOKUP(J324,Lists!$K$2:$O$61,3,FALSE)),"")</f>
        <v/>
      </c>
      <c r="N324" s="10"/>
      <c r="O324" s="10"/>
      <c r="P324" s="6"/>
      <c r="Q324" s="10"/>
      <c r="R324" s="6"/>
    </row>
    <row r="325" spans="1:18" x14ac:dyDescent="0.25">
      <c r="A325" s="8"/>
      <c r="B325" s="9" t="str">
        <f>IF(A325="","","W"&amp;(INT((A325-Lists!$B$2)/7)+1))</f>
        <v/>
      </c>
      <c r="C325" s="10"/>
      <c r="D325" s="10"/>
      <c r="E325" s="9" t="str">
        <f t="shared" si="5"/>
        <v/>
      </c>
      <c r="F325" s="11"/>
      <c r="G325" s="10"/>
      <c r="H325" s="10"/>
      <c r="I325" s="10"/>
      <c r="J325" s="10"/>
      <c r="K325" s="12" t="str">
        <f>IFERROR(IF(J325="","",VLOOKUP(J325,Lists!$K$2:$O$61,5,FALSE)),"")</f>
        <v/>
      </c>
      <c r="L325" s="9" t="str">
        <f>IFERROR(IF(J325="","",VLOOKUP(J325,Lists!$K$2:$O$61,2,FALSE)),"")</f>
        <v/>
      </c>
      <c r="M325" s="9" t="str">
        <f>IFERROR(IF(J325="","",VLOOKUP(J325,Lists!$K$2:$O$61,3,FALSE)),"")</f>
        <v/>
      </c>
      <c r="N325" s="10"/>
      <c r="O325" s="10"/>
      <c r="P325" s="6"/>
      <c r="Q325" s="10"/>
      <c r="R325" s="6"/>
    </row>
    <row r="326" spans="1:18" x14ac:dyDescent="0.25">
      <c r="A326" s="8"/>
      <c r="B326" s="9" t="str">
        <f>IF(A326="","","W"&amp;(INT((A326-Lists!$B$2)/7)+1))</f>
        <v/>
      </c>
      <c r="C326" s="10"/>
      <c r="D326" s="10"/>
      <c r="E326" s="9" t="str">
        <f t="shared" si="5"/>
        <v/>
      </c>
      <c r="F326" s="11"/>
      <c r="G326" s="10"/>
      <c r="H326" s="10"/>
      <c r="I326" s="10"/>
      <c r="J326" s="10"/>
      <c r="K326" s="12" t="str">
        <f>IFERROR(IF(J326="","",VLOOKUP(J326,Lists!$K$2:$O$61,5,FALSE)),"")</f>
        <v/>
      </c>
      <c r="L326" s="9" t="str">
        <f>IFERROR(IF(J326="","",VLOOKUP(J326,Lists!$K$2:$O$61,2,FALSE)),"")</f>
        <v/>
      </c>
      <c r="M326" s="9" t="str">
        <f>IFERROR(IF(J326="","",VLOOKUP(J326,Lists!$K$2:$O$61,3,FALSE)),"")</f>
        <v/>
      </c>
      <c r="N326" s="10"/>
      <c r="O326" s="10"/>
      <c r="P326" s="6"/>
      <c r="Q326" s="10"/>
      <c r="R326" s="6"/>
    </row>
    <row r="327" spans="1:18" x14ac:dyDescent="0.25">
      <c r="A327" s="8"/>
      <c r="B327" s="9" t="str">
        <f>IF(A327="","","W"&amp;(INT((A327-Lists!$B$2)/7)+1))</f>
        <v/>
      </c>
      <c r="C327" s="10"/>
      <c r="D327" s="10"/>
      <c r="E327" s="9" t="str">
        <f t="shared" si="5"/>
        <v/>
      </c>
      <c r="F327" s="11"/>
      <c r="G327" s="10"/>
      <c r="H327" s="10"/>
      <c r="I327" s="10"/>
      <c r="J327" s="10"/>
      <c r="K327" s="12" t="str">
        <f>IFERROR(IF(J327="","",VLOOKUP(J327,Lists!$K$2:$O$61,5,FALSE)),"")</f>
        <v/>
      </c>
      <c r="L327" s="9" t="str">
        <f>IFERROR(IF(J327="","",VLOOKUP(J327,Lists!$K$2:$O$61,2,FALSE)),"")</f>
        <v/>
      </c>
      <c r="M327" s="9" t="str">
        <f>IFERROR(IF(J327="","",VLOOKUP(J327,Lists!$K$2:$O$61,3,FALSE)),"")</f>
        <v/>
      </c>
      <c r="N327" s="10"/>
      <c r="O327" s="10"/>
      <c r="P327" s="6"/>
      <c r="Q327" s="10"/>
      <c r="R327" s="6"/>
    </row>
    <row r="328" spans="1:18" x14ac:dyDescent="0.25">
      <c r="A328" s="8"/>
      <c r="B328" s="9" t="str">
        <f>IF(A328="","","W"&amp;(INT((A328-Lists!$B$2)/7)+1))</f>
        <v/>
      </c>
      <c r="C328" s="10"/>
      <c r="D328" s="10"/>
      <c r="E328" s="9" t="str">
        <f t="shared" si="5"/>
        <v/>
      </c>
      <c r="F328" s="11"/>
      <c r="G328" s="10"/>
      <c r="H328" s="10"/>
      <c r="I328" s="10"/>
      <c r="J328" s="10"/>
      <c r="K328" s="12" t="str">
        <f>IFERROR(IF(J328="","",VLOOKUP(J328,Lists!$K$2:$O$61,5,FALSE)),"")</f>
        <v/>
      </c>
      <c r="L328" s="9" t="str">
        <f>IFERROR(IF(J328="","",VLOOKUP(J328,Lists!$K$2:$O$61,2,FALSE)),"")</f>
        <v/>
      </c>
      <c r="M328" s="9" t="str">
        <f>IFERROR(IF(J328="","",VLOOKUP(J328,Lists!$K$2:$O$61,3,FALSE)),"")</f>
        <v/>
      </c>
      <c r="N328" s="10"/>
      <c r="O328" s="10"/>
      <c r="P328" s="6"/>
      <c r="Q328" s="10"/>
      <c r="R328" s="6"/>
    </row>
    <row r="329" spans="1:18" x14ac:dyDescent="0.25">
      <c r="A329" s="8"/>
      <c r="B329" s="9" t="str">
        <f>IF(A329="","","W"&amp;(INT((A329-Lists!$B$2)/7)+1))</f>
        <v/>
      </c>
      <c r="C329" s="10"/>
      <c r="D329" s="10"/>
      <c r="E329" s="9" t="str">
        <f t="shared" si="5"/>
        <v/>
      </c>
      <c r="F329" s="11"/>
      <c r="G329" s="10"/>
      <c r="H329" s="10"/>
      <c r="I329" s="10"/>
      <c r="J329" s="10"/>
      <c r="K329" s="12" t="str">
        <f>IFERROR(IF(J329="","",VLOOKUP(J329,Lists!$K$2:$O$61,5,FALSE)),"")</f>
        <v/>
      </c>
      <c r="L329" s="9" t="str">
        <f>IFERROR(IF(J329="","",VLOOKUP(J329,Lists!$K$2:$O$61,2,FALSE)),"")</f>
        <v/>
      </c>
      <c r="M329" s="9" t="str">
        <f>IFERROR(IF(J329="","",VLOOKUP(J329,Lists!$K$2:$O$61,3,FALSE)),"")</f>
        <v/>
      </c>
      <c r="N329" s="10"/>
      <c r="O329" s="10"/>
      <c r="P329" s="6"/>
      <c r="Q329" s="10"/>
      <c r="R329" s="6"/>
    </row>
    <row r="330" spans="1:18" x14ac:dyDescent="0.25">
      <c r="A330" s="8"/>
      <c r="B330" s="9" t="str">
        <f>IF(A330="","","W"&amp;(INT((A330-Lists!$B$2)/7)+1))</f>
        <v/>
      </c>
      <c r="C330" s="10"/>
      <c r="D330" s="10"/>
      <c r="E330" s="9" t="str">
        <f t="shared" si="5"/>
        <v/>
      </c>
      <c r="F330" s="11"/>
      <c r="G330" s="10"/>
      <c r="H330" s="10"/>
      <c r="I330" s="10"/>
      <c r="J330" s="10"/>
      <c r="K330" s="12" t="str">
        <f>IFERROR(IF(J330="","",VLOOKUP(J330,Lists!$K$2:$O$61,5,FALSE)),"")</f>
        <v/>
      </c>
      <c r="L330" s="9" t="str">
        <f>IFERROR(IF(J330="","",VLOOKUP(J330,Lists!$K$2:$O$61,2,FALSE)),"")</f>
        <v/>
      </c>
      <c r="M330" s="9" t="str">
        <f>IFERROR(IF(J330="","",VLOOKUP(J330,Lists!$K$2:$O$61,3,FALSE)),"")</f>
        <v/>
      </c>
      <c r="N330" s="10"/>
      <c r="O330" s="10"/>
      <c r="P330" s="6"/>
      <c r="Q330" s="10"/>
      <c r="R330" s="6"/>
    </row>
    <row r="331" spans="1:18" x14ac:dyDescent="0.25">
      <c r="A331" s="8"/>
      <c r="B331" s="9" t="str">
        <f>IF(A331="","","W"&amp;(INT((A331-Lists!$B$2)/7)+1))</f>
        <v/>
      </c>
      <c r="C331" s="10"/>
      <c r="D331" s="10"/>
      <c r="E331" s="9" t="str">
        <f t="shared" si="5"/>
        <v/>
      </c>
      <c r="F331" s="11"/>
      <c r="G331" s="10"/>
      <c r="H331" s="10"/>
      <c r="I331" s="10"/>
      <c r="J331" s="10"/>
      <c r="K331" s="12" t="str">
        <f>IFERROR(IF(J331="","",VLOOKUP(J331,Lists!$K$2:$O$61,5,FALSE)),"")</f>
        <v/>
      </c>
      <c r="L331" s="9" t="str">
        <f>IFERROR(IF(J331="","",VLOOKUP(J331,Lists!$K$2:$O$61,2,FALSE)),"")</f>
        <v/>
      </c>
      <c r="M331" s="9" t="str">
        <f>IFERROR(IF(J331="","",VLOOKUP(J331,Lists!$K$2:$O$61,3,FALSE)),"")</f>
        <v/>
      </c>
      <c r="N331" s="10"/>
      <c r="O331" s="10"/>
      <c r="P331" s="6"/>
      <c r="Q331" s="10"/>
      <c r="R331" s="6"/>
    </row>
    <row r="332" spans="1:18" x14ac:dyDescent="0.25">
      <c r="A332" s="8"/>
      <c r="B332" s="9" t="str">
        <f>IF(A332="","","W"&amp;(INT((A332-Lists!$B$2)/7)+1))</f>
        <v/>
      </c>
      <c r="C332" s="10"/>
      <c r="D332" s="10"/>
      <c r="E332" s="9" t="str">
        <f t="shared" si="5"/>
        <v/>
      </c>
      <c r="F332" s="11"/>
      <c r="G332" s="10"/>
      <c r="H332" s="10"/>
      <c r="I332" s="10"/>
      <c r="J332" s="10"/>
      <c r="K332" s="12" t="str">
        <f>IFERROR(IF(J332="","",VLOOKUP(J332,Lists!$K$2:$O$61,5,FALSE)),"")</f>
        <v/>
      </c>
      <c r="L332" s="9" t="str">
        <f>IFERROR(IF(J332="","",VLOOKUP(J332,Lists!$K$2:$O$61,2,FALSE)),"")</f>
        <v/>
      </c>
      <c r="M332" s="9" t="str">
        <f>IFERROR(IF(J332="","",VLOOKUP(J332,Lists!$K$2:$O$61,3,FALSE)),"")</f>
        <v/>
      </c>
      <c r="N332" s="10"/>
      <c r="O332" s="10"/>
      <c r="P332" s="6"/>
      <c r="Q332" s="10"/>
      <c r="R332" s="6"/>
    </row>
    <row r="333" spans="1:18" x14ac:dyDescent="0.25">
      <c r="A333" s="8"/>
      <c r="B333" s="9" t="str">
        <f>IF(A333="","","W"&amp;(INT((A333-Lists!$B$2)/7)+1))</f>
        <v/>
      </c>
      <c r="C333" s="10"/>
      <c r="D333" s="10"/>
      <c r="E333" s="9" t="str">
        <f t="shared" si="5"/>
        <v/>
      </c>
      <c r="F333" s="11"/>
      <c r="G333" s="10"/>
      <c r="H333" s="10"/>
      <c r="I333" s="10"/>
      <c r="J333" s="10"/>
      <c r="K333" s="12" t="str">
        <f>IFERROR(IF(J333="","",VLOOKUP(J333,Lists!$K$2:$O$61,5,FALSE)),"")</f>
        <v/>
      </c>
      <c r="L333" s="9" t="str">
        <f>IFERROR(IF(J333="","",VLOOKUP(J333,Lists!$K$2:$O$61,2,FALSE)),"")</f>
        <v/>
      </c>
      <c r="M333" s="9" t="str">
        <f>IFERROR(IF(J333="","",VLOOKUP(J333,Lists!$K$2:$O$61,3,FALSE)),"")</f>
        <v/>
      </c>
      <c r="N333" s="10"/>
      <c r="O333" s="10"/>
      <c r="P333" s="6"/>
      <c r="Q333" s="10"/>
      <c r="R333" s="6"/>
    </row>
    <row r="334" spans="1:18" x14ac:dyDescent="0.25">
      <c r="A334" s="8"/>
      <c r="B334" s="9" t="str">
        <f>IF(A334="","","W"&amp;(INT((A334-Lists!$B$2)/7)+1))</f>
        <v/>
      </c>
      <c r="C334" s="10"/>
      <c r="D334" s="10"/>
      <c r="E334" s="9" t="str">
        <f t="shared" si="5"/>
        <v/>
      </c>
      <c r="F334" s="11"/>
      <c r="G334" s="10"/>
      <c r="H334" s="10"/>
      <c r="I334" s="10"/>
      <c r="J334" s="10"/>
      <c r="K334" s="12" t="str">
        <f>IFERROR(IF(J334="","",VLOOKUP(J334,Lists!$K$2:$O$61,5,FALSE)),"")</f>
        <v/>
      </c>
      <c r="L334" s="9" t="str">
        <f>IFERROR(IF(J334="","",VLOOKUP(J334,Lists!$K$2:$O$61,2,FALSE)),"")</f>
        <v/>
      </c>
      <c r="M334" s="9" t="str">
        <f>IFERROR(IF(J334="","",VLOOKUP(J334,Lists!$K$2:$O$61,3,FALSE)),"")</f>
        <v/>
      </c>
      <c r="N334" s="10"/>
      <c r="O334" s="10"/>
      <c r="P334" s="6"/>
      <c r="Q334" s="10"/>
      <c r="R334" s="6"/>
    </row>
    <row r="335" spans="1:18" x14ac:dyDescent="0.25">
      <c r="A335" s="8"/>
      <c r="B335" s="9" t="str">
        <f>IF(A335="","","W"&amp;(INT((A335-Lists!$B$2)/7)+1))</f>
        <v/>
      </c>
      <c r="C335" s="10"/>
      <c r="D335" s="10"/>
      <c r="E335" s="9" t="str">
        <f t="shared" si="5"/>
        <v/>
      </c>
      <c r="F335" s="11"/>
      <c r="G335" s="10"/>
      <c r="H335" s="10"/>
      <c r="I335" s="10"/>
      <c r="J335" s="10"/>
      <c r="K335" s="12" t="str">
        <f>IFERROR(IF(J335="","",VLOOKUP(J335,Lists!$K$2:$O$61,5,FALSE)),"")</f>
        <v/>
      </c>
      <c r="L335" s="9" t="str">
        <f>IFERROR(IF(J335="","",VLOOKUP(J335,Lists!$K$2:$O$61,2,FALSE)),"")</f>
        <v/>
      </c>
      <c r="M335" s="9" t="str">
        <f>IFERROR(IF(J335="","",VLOOKUP(J335,Lists!$K$2:$O$61,3,FALSE)),"")</f>
        <v/>
      </c>
      <c r="N335" s="10"/>
      <c r="O335" s="10"/>
      <c r="P335" s="6"/>
      <c r="Q335" s="10"/>
      <c r="R335" s="6"/>
    </row>
    <row r="336" spans="1:18" x14ac:dyDescent="0.25">
      <c r="A336" s="8"/>
      <c r="B336" s="9" t="str">
        <f>IF(A336="","","W"&amp;(INT((A336-Lists!$B$2)/7)+1))</f>
        <v/>
      </c>
      <c r="C336" s="10"/>
      <c r="D336" s="10"/>
      <c r="E336" s="9" t="str">
        <f t="shared" si="5"/>
        <v/>
      </c>
      <c r="F336" s="11"/>
      <c r="G336" s="10"/>
      <c r="H336" s="10"/>
      <c r="I336" s="10"/>
      <c r="J336" s="10"/>
      <c r="K336" s="12" t="str">
        <f>IFERROR(IF(J336="","",VLOOKUP(J336,Lists!$K$2:$O$61,5,FALSE)),"")</f>
        <v/>
      </c>
      <c r="L336" s="9" t="str">
        <f>IFERROR(IF(J336="","",VLOOKUP(J336,Lists!$K$2:$O$61,2,FALSE)),"")</f>
        <v/>
      </c>
      <c r="M336" s="9" t="str">
        <f>IFERROR(IF(J336="","",VLOOKUP(J336,Lists!$K$2:$O$61,3,FALSE)),"")</f>
        <v/>
      </c>
      <c r="N336" s="10"/>
      <c r="O336" s="10"/>
      <c r="P336" s="6"/>
      <c r="Q336" s="10"/>
      <c r="R336" s="6"/>
    </row>
    <row r="337" spans="1:18" x14ac:dyDescent="0.25">
      <c r="A337" s="8"/>
      <c r="B337" s="9" t="str">
        <f>IF(A337="","","W"&amp;(INT((A337-Lists!$B$2)/7)+1))</f>
        <v/>
      </c>
      <c r="C337" s="10"/>
      <c r="D337" s="10"/>
      <c r="E337" s="9" t="str">
        <f t="shared" si="5"/>
        <v/>
      </c>
      <c r="F337" s="11"/>
      <c r="G337" s="10"/>
      <c r="H337" s="10"/>
      <c r="I337" s="10"/>
      <c r="J337" s="10"/>
      <c r="K337" s="12" t="str">
        <f>IFERROR(IF(J337="","",VLOOKUP(J337,Lists!$K$2:$O$61,5,FALSE)),"")</f>
        <v/>
      </c>
      <c r="L337" s="9" t="str">
        <f>IFERROR(IF(J337="","",VLOOKUP(J337,Lists!$K$2:$O$61,2,FALSE)),"")</f>
        <v/>
      </c>
      <c r="M337" s="9" t="str">
        <f>IFERROR(IF(J337="","",VLOOKUP(J337,Lists!$K$2:$O$61,3,FALSE)),"")</f>
        <v/>
      </c>
      <c r="N337" s="10"/>
      <c r="O337" s="10"/>
      <c r="P337" s="6"/>
      <c r="Q337" s="10"/>
      <c r="R337" s="6"/>
    </row>
    <row r="338" spans="1:18" x14ac:dyDescent="0.25">
      <c r="A338" s="8"/>
      <c r="B338" s="9" t="str">
        <f>IF(A338="","","W"&amp;(INT((A338-Lists!$B$2)/7)+1))</f>
        <v/>
      </c>
      <c r="C338" s="10"/>
      <c r="D338" s="10"/>
      <c r="E338" s="9" t="str">
        <f t="shared" si="5"/>
        <v/>
      </c>
      <c r="F338" s="11"/>
      <c r="G338" s="10"/>
      <c r="H338" s="10"/>
      <c r="I338" s="10"/>
      <c r="J338" s="10"/>
      <c r="K338" s="12" t="str">
        <f>IFERROR(IF(J338="","",VLOOKUP(J338,Lists!$K$2:$O$61,5,FALSE)),"")</f>
        <v/>
      </c>
      <c r="L338" s="9" t="str">
        <f>IFERROR(IF(J338="","",VLOOKUP(J338,Lists!$K$2:$O$61,2,FALSE)),"")</f>
        <v/>
      </c>
      <c r="M338" s="9" t="str">
        <f>IFERROR(IF(J338="","",VLOOKUP(J338,Lists!$K$2:$O$61,3,FALSE)),"")</f>
        <v/>
      </c>
      <c r="N338" s="10"/>
      <c r="O338" s="10"/>
      <c r="P338" s="6"/>
      <c r="Q338" s="10"/>
      <c r="R338" s="6"/>
    </row>
    <row r="339" spans="1:18" x14ac:dyDescent="0.25">
      <c r="A339" s="8"/>
      <c r="B339" s="9" t="str">
        <f>IF(A339="","","W"&amp;(INT((A339-Lists!$B$2)/7)+1))</f>
        <v/>
      </c>
      <c r="C339" s="10"/>
      <c r="D339" s="10"/>
      <c r="E339" s="9" t="str">
        <f t="shared" si="5"/>
        <v/>
      </c>
      <c r="F339" s="11"/>
      <c r="G339" s="10"/>
      <c r="H339" s="10"/>
      <c r="I339" s="10"/>
      <c r="J339" s="10"/>
      <c r="K339" s="12" t="str">
        <f>IFERROR(IF(J339="","",VLOOKUP(J339,Lists!$K$2:$O$61,5,FALSE)),"")</f>
        <v/>
      </c>
      <c r="L339" s="9" t="str">
        <f>IFERROR(IF(J339="","",VLOOKUP(J339,Lists!$K$2:$O$61,2,FALSE)),"")</f>
        <v/>
      </c>
      <c r="M339" s="9" t="str">
        <f>IFERROR(IF(J339="","",VLOOKUP(J339,Lists!$K$2:$O$61,3,FALSE)),"")</f>
        <v/>
      </c>
      <c r="N339" s="10"/>
      <c r="O339" s="10"/>
      <c r="P339" s="6"/>
      <c r="Q339" s="10"/>
      <c r="R339" s="6"/>
    </row>
    <row r="340" spans="1:18" x14ac:dyDescent="0.25">
      <c r="A340" s="8"/>
      <c r="B340" s="9" t="str">
        <f>IF(A340="","","W"&amp;(INT((A340-Lists!$B$2)/7)+1))</f>
        <v/>
      </c>
      <c r="C340" s="10"/>
      <c r="D340" s="10"/>
      <c r="E340" s="9" t="str">
        <f t="shared" si="5"/>
        <v/>
      </c>
      <c r="F340" s="11"/>
      <c r="G340" s="10"/>
      <c r="H340" s="10"/>
      <c r="I340" s="10"/>
      <c r="J340" s="10"/>
      <c r="K340" s="12" t="str">
        <f>IFERROR(IF(J340="","",VLOOKUP(J340,Lists!$K$2:$O$61,5,FALSE)),"")</f>
        <v/>
      </c>
      <c r="L340" s="9" t="str">
        <f>IFERROR(IF(J340="","",VLOOKUP(J340,Lists!$K$2:$O$61,2,FALSE)),"")</f>
        <v/>
      </c>
      <c r="M340" s="9" t="str">
        <f>IFERROR(IF(J340="","",VLOOKUP(J340,Lists!$K$2:$O$61,3,FALSE)),"")</f>
        <v/>
      </c>
      <c r="N340" s="10"/>
      <c r="O340" s="10"/>
      <c r="P340" s="6"/>
      <c r="Q340" s="10"/>
      <c r="R340" s="6"/>
    </row>
    <row r="341" spans="1:18" x14ac:dyDescent="0.25">
      <c r="A341" s="8"/>
      <c r="B341" s="9" t="str">
        <f>IF(A341="","","W"&amp;(INT((A341-Lists!$B$2)/7)+1))</f>
        <v/>
      </c>
      <c r="C341" s="10"/>
      <c r="D341" s="10"/>
      <c r="E341" s="9" t="str">
        <f t="shared" si="5"/>
        <v/>
      </c>
      <c r="F341" s="11"/>
      <c r="G341" s="10"/>
      <c r="H341" s="10"/>
      <c r="I341" s="10"/>
      <c r="J341" s="10"/>
      <c r="K341" s="12" t="str">
        <f>IFERROR(IF(J341="","",VLOOKUP(J341,Lists!$K$2:$O$61,5,FALSE)),"")</f>
        <v/>
      </c>
      <c r="L341" s="9" t="str">
        <f>IFERROR(IF(J341="","",VLOOKUP(J341,Lists!$K$2:$O$61,2,FALSE)),"")</f>
        <v/>
      </c>
      <c r="M341" s="9" t="str">
        <f>IFERROR(IF(J341="","",VLOOKUP(J341,Lists!$K$2:$O$61,3,FALSE)),"")</f>
        <v/>
      </c>
      <c r="N341" s="10"/>
      <c r="O341" s="10"/>
      <c r="P341" s="6"/>
      <c r="Q341" s="10"/>
      <c r="R341" s="6"/>
    </row>
    <row r="342" spans="1:18" x14ac:dyDescent="0.25">
      <c r="A342" s="8"/>
      <c r="B342" s="9" t="str">
        <f>IF(A342="","","W"&amp;(INT((A342-Lists!$B$2)/7)+1))</f>
        <v/>
      </c>
      <c r="C342" s="10"/>
      <c r="D342" s="10"/>
      <c r="E342" s="9" t="str">
        <f t="shared" si="5"/>
        <v/>
      </c>
      <c r="F342" s="11"/>
      <c r="G342" s="10"/>
      <c r="H342" s="10"/>
      <c r="I342" s="10"/>
      <c r="J342" s="10"/>
      <c r="K342" s="12" t="str">
        <f>IFERROR(IF(J342="","",VLOOKUP(J342,Lists!$K$2:$O$61,5,FALSE)),"")</f>
        <v/>
      </c>
      <c r="L342" s="9" t="str">
        <f>IFERROR(IF(J342="","",VLOOKUP(J342,Lists!$K$2:$O$61,2,FALSE)),"")</f>
        <v/>
      </c>
      <c r="M342" s="9" t="str">
        <f>IFERROR(IF(J342="","",VLOOKUP(J342,Lists!$K$2:$O$61,3,FALSE)),"")</f>
        <v/>
      </c>
      <c r="N342" s="10"/>
      <c r="O342" s="10"/>
      <c r="P342" s="6"/>
      <c r="Q342" s="10"/>
      <c r="R342" s="6"/>
    </row>
    <row r="343" spans="1:18" x14ac:dyDescent="0.25">
      <c r="A343" s="8"/>
      <c r="B343" s="9" t="str">
        <f>IF(A343="","","W"&amp;(INT((A343-Lists!$B$2)/7)+1))</f>
        <v/>
      </c>
      <c r="C343" s="10"/>
      <c r="D343" s="10"/>
      <c r="E343" s="9" t="str">
        <f t="shared" si="5"/>
        <v/>
      </c>
      <c r="F343" s="11"/>
      <c r="G343" s="10"/>
      <c r="H343" s="10"/>
      <c r="I343" s="10"/>
      <c r="J343" s="10"/>
      <c r="K343" s="12" t="str">
        <f>IFERROR(IF(J343="","",VLOOKUP(J343,Lists!$K$2:$O$61,5,FALSE)),"")</f>
        <v/>
      </c>
      <c r="L343" s="9" t="str">
        <f>IFERROR(IF(J343="","",VLOOKUP(J343,Lists!$K$2:$O$61,2,FALSE)),"")</f>
        <v/>
      </c>
      <c r="M343" s="9" t="str">
        <f>IFERROR(IF(J343="","",VLOOKUP(J343,Lists!$K$2:$O$61,3,FALSE)),"")</f>
        <v/>
      </c>
      <c r="N343" s="10"/>
      <c r="O343" s="10"/>
      <c r="P343" s="6"/>
      <c r="Q343" s="10"/>
      <c r="R343" s="6"/>
    </row>
    <row r="344" spans="1:18" x14ac:dyDescent="0.25">
      <c r="A344" s="8"/>
      <c r="B344" s="9" t="str">
        <f>IF(A344="","","W"&amp;(INT((A344-Lists!$B$2)/7)+1))</f>
        <v/>
      </c>
      <c r="C344" s="10"/>
      <c r="D344" s="10"/>
      <c r="E344" s="9" t="str">
        <f t="shared" si="5"/>
        <v/>
      </c>
      <c r="F344" s="11"/>
      <c r="G344" s="10"/>
      <c r="H344" s="10"/>
      <c r="I344" s="10"/>
      <c r="J344" s="10"/>
      <c r="K344" s="12" t="str">
        <f>IFERROR(IF(J344="","",VLOOKUP(J344,Lists!$K$2:$O$61,5,FALSE)),"")</f>
        <v/>
      </c>
      <c r="L344" s="9" t="str">
        <f>IFERROR(IF(J344="","",VLOOKUP(J344,Lists!$K$2:$O$61,2,FALSE)),"")</f>
        <v/>
      </c>
      <c r="M344" s="9" t="str">
        <f>IFERROR(IF(J344="","",VLOOKUP(J344,Lists!$K$2:$O$61,3,FALSE)),"")</f>
        <v/>
      </c>
      <c r="N344" s="10"/>
      <c r="O344" s="10"/>
      <c r="P344" s="6"/>
      <c r="Q344" s="10"/>
      <c r="R344" s="6"/>
    </row>
    <row r="345" spans="1:18" x14ac:dyDescent="0.25">
      <c r="A345" s="8"/>
      <c r="B345" s="9" t="str">
        <f>IF(A345="","","W"&amp;(INT((A345-Lists!$B$2)/7)+1))</f>
        <v/>
      </c>
      <c r="C345" s="10"/>
      <c r="D345" s="10"/>
      <c r="E345" s="9" t="str">
        <f t="shared" si="5"/>
        <v/>
      </c>
      <c r="F345" s="11"/>
      <c r="G345" s="10"/>
      <c r="H345" s="10"/>
      <c r="I345" s="10"/>
      <c r="J345" s="10"/>
      <c r="K345" s="12" t="str">
        <f>IFERROR(IF(J345="","",VLOOKUP(J345,Lists!$K$2:$O$61,5,FALSE)),"")</f>
        <v/>
      </c>
      <c r="L345" s="9" t="str">
        <f>IFERROR(IF(J345="","",VLOOKUP(J345,Lists!$K$2:$O$61,2,FALSE)),"")</f>
        <v/>
      </c>
      <c r="M345" s="9" t="str">
        <f>IFERROR(IF(J345="","",VLOOKUP(J345,Lists!$K$2:$O$61,3,FALSE)),"")</f>
        <v/>
      </c>
      <c r="N345" s="10"/>
      <c r="O345" s="10"/>
      <c r="P345" s="6"/>
      <c r="Q345" s="10"/>
      <c r="R345" s="6"/>
    </row>
    <row r="346" spans="1:18" x14ac:dyDescent="0.25">
      <c r="A346" s="8"/>
      <c r="B346" s="9" t="str">
        <f>IF(A346="","","W"&amp;(INT((A346-Lists!$B$2)/7)+1))</f>
        <v/>
      </c>
      <c r="C346" s="10"/>
      <c r="D346" s="10"/>
      <c r="E346" s="9" t="str">
        <f t="shared" si="5"/>
        <v/>
      </c>
      <c r="F346" s="11"/>
      <c r="G346" s="10"/>
      <c r="H346" s="10"/>
      <c r="I346" s="10"/>
      <c r="J346" s="10"/>
      <c r="K346" s="12" t="str">
        <f>IFERROR(IF(J346="","",VLOOKUP(J346,Lists!$K$2:$O$61,5,FALSE)),"")</f>
        <v/>
      </c>
      <c r="L346" s="9" t="str">
        <f>IFERROR(IF(J346="","",VLOOKUP(J346,Lists!$K$2:$O$61,2,FALSE)),"")</f>
        <v/>
      </c>
      <c r="M346" s="9" t="str">
        <f>IFERROR(IF(J346="","",VLOOKUP(J346,Lists!$K$2:$O$61,3,FALSE)),"")</f>
        <v/>
      </c>
      <c r="N346" s="10"/>
      <c r="O346" s="10"/>
      <c r="P346" s="6"/>
      <c r="Q346" s="10"/>
      <c r="R346" s="6"/>
    </row>
    <row r="347" spans="1:18" x14ac:dyDescent="0.25">
      <c r="A347" s="8"/>
      <c r="B347" s="9" t="str">
        <f>IF(A347="","","W"&amp;(INT((A347-Lists!$B$2)/7)+1))</f>
        <v/>
      </c>
      <c r="C347" s="10"/>
      <c r="D347" s="10"/>
      <c r="E347" s="9" t="str">
        <f t="shared" si="5"/>
        <v/>
      </c>
      <c r="F347" s="11"/>
      <c r="G347" s="10"/>
      <c r="H347" s="10"/>
      <c r="I347" s="10"/>
      <c r="J347" s="10"/>
      <c r="K347" s="12" t="str">
        <f>IFERROR(IF(J347="","",VLOOKUP(J347,Lists!$K$2:$O$61,5,FALSE)),"")</f>
        <v/>
      </c>
      <c r="L347" s="9" t="str">
        <f>IFERROR(IF(J347="","",VLOOKUP(J347,Lists!$K$2:$O$61,2,FALSE)),"")</f>
        <v/>
      </c>
      <c r="M347" s="9" t="str">
        <f>IFERROR(IF(J347="","",VLOOKUP(J347,Lists!$K$2:$O$61,3,FALSE)),"")</f>
        <v/>
      </c>
      <c r="N347" s="10"/>
      <c r="O347" s="10"/>
      <c r="P347" s="6"/>
      <c r="Q347" s="10"/>
      <c r="R347" s="6"/>
    </row>
    <row r="348" spans="1:18" x14ac:dyDescent="0.25">
      <c r="A348" s="8"/>
      <c r="B348" s="9" t="str">
        <f>IF(A348="","","W"&amp;(INT((A348-Lists!$B$2)/7)+1))</f>
        <v/>
      </c>
      <c r="C348" s="10"/>
      <c r="D348" s="10"/>
      <c r="E348" s="9" t="str">
        <f t="shared" si="5"/>
        <v/>
      </c>
      <c r="F348" s="11"/>
      <c r="G348" s="10"/>
      <c r="H348" s="10"/>
      <c r="I348" s="10"/>
      <c r="J348" s="10"/>
      <c r="K348" s="12" t="str">
        <f>IFERROR(IF(J348="","",VLOOKUP(J348,Lists!$K$2:$O$61,5,FALSE)),"")</f>
        <v/>
      </c>
      <c r="L348" s="9" t="str">
        <f>IFERROR(IF(J348="","",VLOOKUP(J348,Lists!$K$2:$O$61,2,FALSE)),"")</f>
        <v/>
      </c>
      <c r="M348" s="9" t="str">
        <f>IFERROR(IF(J348="","",VLOOKUP(J348,Lists!$K$2:$O$61,3,FALSE)),"")</f>
        <v/>
      </c>
      <c r="N348" s="10"/>
      <c r="O348" s="10"/>
      <c r="P348" s="6"/>
      <c r="Q348" s="10"/>
      <c r="R348" s="6"/>
    </row>
    <row r="349" spans="1:18" x14ac:dyDescent="0.25">
      <c r="A349" s="8"/>
      <c r="B349" s="9" t="str">
        <f>IF(A349="","","W"&amp;(INT((A349-Lists!$B$2)/7)+1))</f>
        <v/>
      </c>
      <c r="C349" s="10"/>
      <c r="D349" s="10"/>
      <c r="E349" s="9" t="str">
        <f t="shared" si="5"/>
        <v/>
      </c>
      <c r="F349" s="11"/>
      <c r="G349" s="10"/>
      <c r="H349" s="10"/>
      <c r="I349" s="10"/>
      <c r="J349" s="10"/>
      <c r="K349" s="12" t="str">
        <f>IFERROR(IF(J349="","",VLOOKUP(J349,Lists!$K$2:$O$61,5,FALSE)),"")</f>
        <v/>
      </c>
      <c r="L349" s="9" t="str">
        <f>IFERROR(IF(J349="","",VLOOKUP(J349,Lists!$K$2:$O$61,2,FALSE)),"")</f>
        <v/>
      </c>
      <c r="M349" s="9" t="str">
        <f>IFERROR(IF(J349="","",VLOOKUP(J349,Lists!$K$2:$O$61,3,FALSE)),"")</f>
        <v/>
      </c>
      <c r="N349" s="10"/>
      <c r="O349" s="10"/>
      <c r="P349" s="6"/>
      <c r="Q349" s="10"/>
      <c r="R349" s="6"/>
    </row>
    <row r="350" spans="1:18" x14ac:dyDescent="0.25">
      <c r="A350" s="8"/>
      <c r="B350" s="9" t="str">
        <f>IF(A350="","","W"&amp;(INT((A350-Lists!$B$2)/7)+1))</f>
        <v/>
      </c>
      <c r="C350" s="10"/>
      <c r="D350" s="10"/>
      <c r="E350" s="9" t="str">
        <f t="shared" si="5"/>
        <v/>
      </c>
      <c r="F350" s="11"/>
      <c r="G350" s="10"/>
      <c r="H350" s="10"/>
      <c r="I350" s="10"/>
      <c r="J350" s="10"/>
      <c r="K350" s="12" t="str">
        <f>IFERROR(IF(J350="","",VLOOKUP(J350,Lists!$K$2:$O$61,5,FALSE)),"")</f>
        <v/>
      </c>
      <c r="L350" s="9" t="str">
        <f>IFERROR(IF(J350="","",VLOOKUP(J350,Lists!$K$2:$O$61,2,FALSE)),"")</f>
        <v/>
      </c>
      <c r="M350" s="9" t="str">
        <f>IFERROR(IF(J350="","",VLOOKUP(J350,Lists!$K$2:$O$61,3,FALSE)),"")</f>
        <v/>
      </c>
      <c r="N350" s="10"/>
      <c r="O350" s="10"/>
      <c r="P350" s="6"/>
      <c r="Q350" s="10"/>
      <c r="R350" s="6"/>
    </row>
    <row r="351" spans="1:18" x14ac:dyDescent="0.25">
      <c r="A351" s="8"/>
      <c r="B351" s="9" t="str">
        <f>IF(A351="","","W"&amp;(INT((A351-Lists!$B$2)/7)+1))</f>
        <v/>
      </c>
      <c r="C351" s="10"/>
      <c r="D351" s="10"/>
      <c r="E351" s="9" t="str">
        <f t="shared" si="5"/>
        <v/>
      </c>
      <c r="F351" s="11"/>
      <c r="G351" s="10"/>
      <c r="H351" s="10"/>
      <c r="I351" s="10"/>
      <c r="J351" s="10"/>
      <c r="K351" s="12" t="str">
        <f>IFERROR(IF(J351="","",VLOOKUP(J351,Lists!$K$2:$O$61,5,FALSE)),"")</f>
        <v/>
      </c>
      <c r="L351" s="9" t="str">
        <f>IFERROR(IF(J351="","",VLOOKUP(J351,Lists!$K$2:$O$61,2,FALSE)),"")</f>
        <v/>
      </c>
      <c r="M351" s="9" t="str">
        <f>IFERROR(IF(J351="","",VLOOKUP(J351,Lists!$K$2:$O$61,3,FALSE)),"")</f>
        <v/>
      </c>
      <c r="N351" s="10"/>
      <c r="O351" s="10"/>
      <c r="P351" s="6"/>
      <c r="Q351" s="10"/>
      <c r="R351" s="6"/>
    </row>
    <row r="352" spans="1:18" x14ac:dyDescent="0.25">
      <c r="A352" s="8"/>
      <c r="B352" s="9" t="str">
        <f>IF(A352="","","W"&amp;(INT((A352-Lists!$B$2)/7)+1))</f>
        <v/>
      </c>
      <c r="C352" s="10"/>
      <c r="D352" s="10"/>
      <c r="E352" s="9" t="str">
        <f t="shared" si="5"/>
        <v/>
      </c>
      <c r="F352" s="11"/>
      <c r="G352" s="10"/>
      <c r="H352" s="10"/>
      <c r="I352" s="10"/>
      <c r="J352" s="10"/>
      <c r="K352" s="12" t="str">
        <f>IFERROR(IF(J352="","",VLOOKUP(J352,Lists!$K$2:$O$61,5,FALSE)),"")</f>
        <v/>
      </c>
      <c r="L352" s="9" t="str">
        <f>IFERROR(IF(J352="","",VLOOKUP(J352,Lists!$K$2:$O$61,2,FALSE)),"")</f>
        <v/>
      </c>
      <c r="M352" s="9" t="str">
        <f>IFERROR(IF(J352="","",VLOOKUP(J352,Lists!$K$2:$O$61,3,FALSE)),"")</f>
        <v/>
      </c>
      <c r="N352" s="10"/>
      <c r="O352" s="10"/>
      <c r="P352" s="6"/>
      <c r="Q352" s="10"/>
      <c r="R352" s="6"/>
    </row>
    <row r="353" spans="1:18" x14ac:dyDescent="0.25">
      <c r="A353" s="8"/>
      <c r="B353" s="9" t="str">
        <f>IF(A353="","","W"&amp;(INT((A353-Lists!$B$2)/7)+1))</f>
        <v/>
      </c>
      <c r="C353" s="10"/>
      <c r="D353" s="10"/>
      <c r="E353" s="9" t="str">
        <f t="shared" si="5"/>
        <v/>
      </c>
      <c r="F353" s="11"/>
      <c r="G353" s="10"/>
      <c r="H353" s="10"/>
      <c r="I353" s="10"/>
      <c r="J353" s="10"/>
      <c r="K353" s="12" t="str">
        <f>IFERROR(IF(J353="","",VLOOKUP(J353,Lists!$K$2:$O$61,5,FALSE)),"")</f>
        <v/>
      </c>
      <c r="L353" s="9" t="str">
        <f>IFERROR(IF(J353="","",VLOOKUP(J353,Lists!$K$2:$O$61,2,FALSE)),"")</f>
        <v/>
      </c>
      <c r="M353" s="9" t="str">
        <f>IFERROR(IF(J353="","",VLOOKUP(J353,Lists!$K$2:$O$61,3,FALSE)),"")</f>
        <v/>
      </c>
      <c r="N353" s="10"/>
      <c r="O353" s="10"/>
      <c r="P353" s="6"/>
      <c r="Q353" s="10"/>
      <c r="R353" s="6"/>
    </row>
    <row r="354" spans="1:18" x14ac:dyDescent="0.25">
      <c r="A354" s="8"/>
      <c r="B354" s="9" t="str">
        <f>IF(A354="","","W"&amp;(INT((A354-Lists!$B$2)/7)+1))</f>
        <v/>
      </c>
      <c r="C354" s="10"/>
      <c r="D354" s="10"/>
      <c r="E354" s="9" t="str">
        <f t="shared" si="5"/>
        <v/>
      </c>
      <c r="F354" s="11"/>
      <c r="G354" s="10"/>
      <c r="H354" s="10"/>
      <c r="I354" s="10"/>
      <c r="J354" s="10"/>
      <c r="K354" s="12" t="str">
        <f>IFERROR(IF(J354="","",VLOOKUP(J354,Lists!$K$2:$O$61,5,FALSE)),"")</f>
        <v/>
      </c>
      <c r="L354" s="9" t="str">
        <f>IFERROR(IF(J354="","",VLOOKUP(J354,Lists!$K$2:$O$61,2,FALSE)),"")</f>
        <v/>
      </c>
      <c r="M354" s="9" t="str">
        <f>IFERROR(IF(J354="","",VLOOKUP(J354,Lists!$K$2:$O$61,3,FALSE)),"")</f>
        <v/>
      </c>
      <c r="N354" s="10"/>
      <c r="O354" s="10"/>
      <c r="P354" s="6"/>
      <c r="Q354" s="10"/>
      <c r="R354" s="6"/>
    </row>
    <row r="355" spans="1:18" x14ac:dyDescent="0.25">
      <c r="A355" s="8"/>
      <c r="B355" s="9" t="str">
        <f>IF(A355="","","W"&amp;(INT((A355-Lists!$B$2)/7)+1))</f>
        <v/>
      </c>
      <c r="C355" s="10"/>
      <c r="D355" s="10"/>
      <c r="E355" s="9" t="str">
        <f t="shared" si="5"/>
        <v/>
      </c>
      <c r="F355" s="11"/>
      <c r="G355" s="10"/>
      <c r="H355" s="10"/>
      <c r="I355" s="10"/>
      <c r="J355" s="10"/>
      <c r="K355" s="12" t="str">
        <f>IFERROR(IF(J355="","",VLOOKUP(J355,Lists!$K$2:$O$61,5,FALSE)),"")</f>
        <v/>
      </c>
      <c r="L355" s="9" t="str">
        <f>IFERROR(IF(J355="","",VLOOKUP(J355,Lists!$K$2:$O$61,2,FALSE)),"")</f>
        <v/>
      </c>
      <c r="M355" s="9" t="str">
        <f>IFERROR(IF(J355="","",VLOOKUP(J355,Lists!$K$2:$O$61,3,FALSE)),"")</f>
        <v/>
      </c>
      <c r="N355" s="10"/>
      <c r="O355" s="10"/>
      <c r="P355" s="6"/>
      <c r="Q355" s="10"/>
      <c r="R355" s="6"/>
    </row>
    <row r="356" spans="1:18" x14ac:dyDescent="0.25">
      <c r="A356" s="8"/>
      <c r="B356" s="9" t="str">
        <f>IF(A356="","","W"&amp;(INT((A356-Lists!$B$2)/7)+1))</f>
        <v/>
      </c>
      <c r="C356" s="10"/>
      <c r="D356" s="10"/>
      <c r="E356" s="9" t="str">
        <f t="shared" si="5"/>
        <v/>
      </c>
      <c r="F356" s="11"/>
      <c r="G356" s="10"/>
      <c r="H356" s="10"/>
      <c r="I356" s="10"/>
      <c r="J356" s="10"/>
      <c r="K356" s="12" t="str">
        <f>IFERROR(IF(J356="","",VLOOKUP(J356,Lists!$K$2:$O$61,5,FALSE)),"")</f>
        <v/>
      </c>
      <c r="L356" s="9" t="str">
        <f>IFERROR(IF(J356="","",VLOOKUP(J356,Lists!$K$2:$O$61,2,FALSE)),"")</f>
        <v/>
      </c>
      <c r="M356" s="9" t="str">
        <f>IFERROR(IF(J356="","",VLOOKUP(J356,Lists!$K$2:$O$61,3,FALSE)),"")</f>
        <v/>
      </c>
      <c r="N356" s="10"/>
      <c r="O356" s="10"/>
      <c r="P356" s="6"/>
      <c r="Q356" s="10"/>
      <c r="R356" s="6"/>
    </row>
    <row r="357" spans="1:18" x14ac:dyDescent="0.25">
      <c r="A357" s="8"/>
      <c r="B357" s="9" t="str">
        <f>IF(A357="","","W"&amp;(INT((A357-Lists!$B$2)/7)+1))</f>
        <v/>
      </c>
      <c r="C357" s="10"/>
      <c r="D357" s="10"/>
      <c r="E357" s="9" t="str">
        <f t="shared" si="5"/>
        <v/>
      </c>
      <c r="F357" s="11"/>
      <c r="G357" s="10"/>
      <c r="H357" s="10"/>
      <c r="I357" s="10"/>
      <c r="J357" s="10"/>
      <c r="K357" s="12" t="str">
        <f>IFERROR(IF(J357="","",VLOOKUP(J357,Lists!$K$2:$O$61,5,FALSE)),"")</f>
        <v/>
      </c>
      <c r="L357" s="9" t="str">
        <f>IFERROR(IF(J357="","",VLOOKUP(J357,Lists!$K$2:$O$61,2,FALSE)),"")</f>
        <v/>
      </c>
      <c r="M357" s="9" t="str">
        <f>IFERROR(IF(J357="","",VLOOKUP(J357,Lists!$K$2:$O$61,3,FALSE)),"")</f>
        <v/>
      </c>
      <c r="N357" s="10"/>
      <c r="O357" s="10"/>
      <c r="P357" s="6"/>
      <c r="Q357" s="10"/>
      <c r="R357" s="6"/>
    </row>
    <row r="358" spans="1:18" x14ac:dyDescent="0.25">
      <c r="A358" s="8"/>
      <c r="B358" s="9" t="str">
        <f>IF(A358="","","W"&amp;(INT((A358-Lists!$B$2)/7)+1))</f>
        <v/>
      </c>
      <c r="C358" s="10"/>
      <c r="D358" s="10"/>
      <c r="E358" s="9" t="str">
        <f t="shared" si="5"/>
        <v/>
      </c>
      <c r="F358" s="11"/>
      <c r="G358" s="10"/>
      <c r="H358" s="10"/>
      <c r="I358" s="10"/>
      <c r="J358" s="10"/>
      <c r="K358" s="12" t="str">
        <f>IFERROR(IF(J358="","",VLOOKUP(J358,Lists!$K$2:$O$61,5,FALSE)),"")</f>
        <v/>
      </c>
      <c r="L358" s="9" t="str">
        <f>IFERROR(IF(J358="","",VLOOKUP(J358,Lists!$K$2:$O$61,2,FALSE)),"")</f>
        <v/>
      </c>
      <c r="M358" s="9" t="str">
        <f>IFERROR(IF(J358="","",VLOOKUP(J358,Lists!$K$2:$O$61,3,FALSE)),"")</f>
        <v/>
      </c>
      <c r="N358" s="10"/>
      <c r="O358" s="10"/>
      <c r="P358" s="6"/>
      <c r="Q358" s="10"/>
      <c r="R358" s="6"/>
    </row>
    <row r="359" spans="1:18" x14ac:dyDescent="0.25">
      <c r="A359" s="8"/>
      <c r="B359" s="9" t="str">
        <f>IF(A359="","","W"&amp;(INT((A359-Lists!$B$2)/7)+1))</f>
        <v/>
      </c>
      <c r="C359" s="10"/>
      <c r="D359" s="10"/>
      <c r="E359" s="9" t="str">
        <f t="shared" si="5"/>
        <v/>
      </c>
      <c r="F359" s="11"/>
      <c r="G359" s="10"/>
      <c r="H359" s="10"/>
      <c r="I359" s="10"/>
      <c r="J359" s="10"/>
      <c r="K359" s="12" t="str">
        <f>IFERROR(IF(J359="","",VLOOKUP(J359,Lists!$K$2:$O$61,5,FALSE)),"")</f>
        <v/>
      </c>
      <c r="L359" s="9" t="str">
        <f>IFERROR(IF(J359="","",VLOOKUP(J359,Lists!$K$2:$O$61,2,FALSE)),"")</f>
        <v/>
      </c>
      <c r="M359" s="9" t="str">
        <f>IFERROR(IF(J359="","",VLOOKUP(J359,Lists!$K$2:$O$61,3,FALSE)),"")</f>
        <v/>
      </c>
      <c r="N359" s="10"/>
      <c r="O359" s="10"/>
      <c r="P359" s="6"/>
      <c r="Q359" s="10"/>
      <c r="R359" s="6"/>
    </row>
    <row r="360" spans="1:18" x14ac:dyDescent="0.25">
      <c r="A360" s="8"/>
      <c r="B360" s="9" t="str">
        <f>IF(A360="","","W"&amp;(INT((A360-Lists!$B$2)/7)+1))</f>
        <v/>
      </c>
      <c r="C360" s="10"/>
      <c r="D360" s="10"/>
      <c r="E360" s="9" t="str">
        <f t="shared" si="5"/>
        <v/>
      </c>
      <c r="F360" s="11"/>
      <c r="G360" s="10"/>
      <c r="H360" s="10"/>
      <c r="I360" s="10"/>
      <c r="J360" s="10"/>
      <c r="K360" s="12" t="str">
        <f>IFERROR(IF(J360="","",VLOOKUP(J360,Lists!$K$2:$O$61,5,FALSE)),"")</f>
        <v/>
      </c>
      <c r="L360" s="9" t="str">
        <f>IFERROR(IF(J360="","",VLOOKUP(J360,Lists!$K$2:$O$61,2,FALSE)),"")</f>
        <v/>
      </c>
      <c r="M360" s="9" t="str">
        <f>IFERROR(IF(J360="","",VLOOKUP(J360,Lists!$K$2:$O$61,3,FALSE)),"")</f>
        <v/>
      </c>
      <c r="N360" s="10"/>
      <c r="O360" s="10"/>
      <c r="P360" s="6"/>
      <c r="Q360" s="10"/>
      <c r="R360" s="6"/>
    </row>
    <row r="361" spans="1:18" x14ac:dyDescent="0.25">
      <c r="A361" s="8"/>
      <c r="B361" s="9" t="str">
        <f>IF(A361="","","W"&amp;(INT((A361-Lists!$B$2)/7)+1))</f>
        <v/>
      </c>
      <c r="C361" s="10"/>
      <c r="D361" s="10"/>
      <c r="E361" s="9" t="str">
        <f t="shared" si="5"/>
        <v/>
      </c>
      <c r="F361" s="11"/>
      <c r="G361" s="10"/>
      <c r="H361" s="10"/>
      <c r="I361" s="10"/>
      <c r="J361" s="10"/>
      <c r="K361" s="12" t="str">
        <f>IFERROR(IF(J361="","",VLOOKUP(J361,Lists!$K$2:$O$61,5,FALSE)),"")</f>
        <v/>
      </c>
      <c r="L361" s="9" t="str">
        <f>IFERROR(IF(J361="","",VLOOKUP(J361,Lists!$K$2:$O$61,2,FALSE)),"")</f>
        <v/>
      </c>
      <c r="M361" s="9" t="str">
        <f>IFERROR(IF(J361="","",VLOOKUP(J361,Lists!$K$2:$O$61,3,FALSE)),"")</f>
        <v/>
      </c>
      <c r="N361" s="10"/>
      <c r="O361" s="10"/>
      <c r="P361" s="6"/>
      <c r="Q361" s="10"/>
      <c r="R361" s="6"/>
    </row>
    <row r="362" spans="1:18" x14ac:dyDescent="0.25">
      <c r="A362" s="8"/>
      <c r="B362" s="9" t="str">
        <f>IF(A362="","","W"&amp;(INT((A362-Lists!$B$2)/7)+1))</f>
        <v/>
      </c>
      <c r="C362" s="10"/>
      <c r="D362" s="10"/>
      <c r="E362" s="9" t="str">
        <f t="shared" si="5"/>
        <v/>
      </c>
      <c r="F362" s="11"/>
      <c r="G362" s="10"/>
      <c r="H362" s="10"/>
      <c r="I362" s="10"/>
      <c r="J362" s="10"/>
      <c r="K362" s="12" t="str">
        <f>IFERROR(IF(J362="","",VLOOKUP(J362,Lists!$K$2:$O$61,5,FALSE)),"")</f>
        <v/>
      </c>
      <c r="L362" s="9" t="str">
        <f>IFERROR(IF(J362="","",VLOOKUP(J362,Lists!$K$2:$O$61,2,FALSE)),"")</f>
        <v/>
      </c>
      <c r="M362" s="9" t="str">
        <f>IFERROR(IF(J362="","",VLOOKUP(J362,Lists!$K$2:$O$61,3,FALSE)),"")</f>
        <v/>
      </c>
      <c r="N362" s="10"/>
      <c r="O362" s="10"/>
      <c r="P362" s="6"/>
      <c r="Q362" s="10"/>
      <c r="R362" s="6"/>
    </row>
    <row r="363" spans="1:18" x14ac:dyDescent="0.25">
      <c r="A363" s="8"/>
      <c r="B363" s="9" t="str">
        <f>IF(A363="","","W"&amp;(INT((A363-Lists!$B$2)/7)+1))</f>
        <v/>
      </c>
      <c r="C363" s="10"/>
      <c r="D363" s="10"/>
      <c r="E363" s="9" t="str">
        <f t="shared" si="5"/>
        <v/>
      </c>
      <c r="F363" s="11"/>
      <c r="G363" s="10"/>
      <c r="H363" s="10"/>
      <c r="I363" s="10"/>
      <c r="J363" s="10"/>
      <c r="K363" s="12" t="str">
        <f>IFERROR(IF(J363="","",VLOOKUP(J363,Lists!$K$2:$O$61,5,FALSE)),"")</f>
        <v/>
      </c>
      <c r="L363" s="9" t="str">
        <f>IFERROR(IF(J363="","",VLOOKUP(J363,Lists!$K$2:$O$61,2,FALSE)),"")</f>
        <v/>
      </c>
      <c r="M363" s="9" t="str">
        <f>IFERROR(IF(J363="","",VLOOKUP(J363,Lists!$K$2:$O$61,3,FALSE)),"")</f>
        <v/>
      </c>
      <c r="N363" s="10"/>
      <c r="O363" s="10"/>
      <c r="P363" s="6"/>
      <c r="Q363" s="10"/>
      <c r="R363" s="6"/>
    </row>
    <row r="364" spans="1:18" x14ac:dyDescent="0.25">
      <c r="A364" s="8"/>
      <c r="B364" s="9" t="str">
        <f>IF(A364="","","W"&amp;(INT((A364-Lists!$B$2)/7)+1))</f>
        <v/>
      </c>
      <c r="C364" s="10"/>
      <c r="D364" s="10"/>
      <c r="E364" s="9" t="str">
        <f t="shared" si="5"/>
        <v/>
      </c>
      <c r="F364" s="11"/>
      <c r="G364" s="10"/>
      <c r="H364" s="10"/>
      <c r="I364" s="10"/>
      <c r="J364" s="10"/>
      <c r="K364" s="12" t="str">
        <f>IFERROR(IF(J364="","",VLOOKUP(J364,Lists!$K$2:$O$61,5,FALSE)),"")</f>
        <v/>
      </c>
      <c r="L364" s="9" t="str">
        <f>IFERROR(IF(J364="","",VLOOKUP(J364,Lists!$K$2:$O$61,2,FALSE)),"")</f>
        <v/>
      </c>
      <c r="M364" s="9" t="str">
        <f>IFERROR(IF(J364="","",VLOOKUP(J364,Lists!$K$2:$O$61,3,FALSE)),"")</f>
        <v/>
      </c>
      <c r="N364" s="10"/>
      <c r="O364" s="10"/>
      <c r="P364" s="6"/>
      <c r="Q364" s="10"/>
      <c r="R364" s="6"/>
    </row>
    <row r="365" spans="1:18" x14ac:dyDescent="0.25">
      <c r="A365" s="8"/>
      <c r="B365" s="9" t="str">
        <f>IF(A365="","","W"&amp;(INT((A365-Lists!$B$2)/7)+1))</f>
        <v/>
      </c>
      <c r="C365" s="10"/>
      <c r="D365" s="10"/>
      <c r="E365" s="9" t="str">
        <f t="shared" si="5"/>
        <v/>
      </c>
      <c r="F365" s="11"/>
      <c r="G365" s="10"/>
      <c r="H365" s="10"/>
      <c r="I365" s="10"/>
      <c r="J365" s="10"/>
      <c r="K365" s="12" t="str">
        <f>IFERROR(IF(J365="","",VLOOKUP(J365,Lists!$K$2:$O$61,5,FALSE)),"")</f>
        <v/>
      </c>
      <c r="L365" s="9" t="str">
        <f>IFERROR(IF(J365="","",VLOOKUP(J365,Lists!$K$2:$O$61,2,FALSE)),"")</f>
        <v/>
      </c>
      <c r="M365" s="9" t="str">
        <f>IFERROR(IF(J365="","",VLOOKUP(J365,Lists!$K$2:$O$61,3,FALSE)),"")</f>
        <v/>
      </c>
      <c r="N365" s="10"/>
      <c r="O365" s="10"/>
      <c r="P365" s="6"/>
      <c r="Q365" s="10"/>
      <c r="R365" s="6"/>
    </row>
    <row r="366" spans="1:18" x14ac:dyDescent="0.25">
      <c r="A366" s="8"/>
      <c r="B366" s="9" t="str">
        <f>IF(A366="","","W"&amp;(INT((A366-Lists!$B$2)/7)+1))</f>
        <v/>
      </c>
      <c r="C366" s="10"/>
      <c r="D366" s="10"/>
      <c r="E366" s="9" t="str">
        <f t="shared" si="5"/>
        <v/>
      </c>
      <c r="F366" s="11"/>
      <c r="G366" s="10"/>
      <c r="H366" s="10"/>
      <c r="I366" s="10"/>
      <c r="J366" s="10"/>
      <c r="K366" s="12" t="str">
        <f>IFERROR(IF(J366="","",VLOOKUP(J366,Lists!$K$2:$O$61,5,FALSE)),"")</f>
        <v/>
      </c>
      <c r="L366" s="9" t="str">
        <f>IFERROR(IF(J366="","",VLOOKUP(J366,Lists!$K$2:$O$61,2,FALSE)),"")</f>
        <v/>
      </c>
      <c r="M366" s="9" t="str">
        <f>IFERROR(IF(J366="","",VLOOKUP(J366,Lists!$K$2:$O$61,3,FALSE)),"")</f>
        <v/>
      </c>
      <c r="N366" s="10"/>
      <c r="O366" s="10"/>
      <c r="P366" s="6"/>
      <c r="Q366" s="10"/>
      <c r="R366" s="6"/>
    </row>
    <row r="367" spans="1:18" x14ac:dyDescent="0.25">
      <c r="A367" s="8"/>
      <c r="B367" s="9" t="str">
        <f>IF(A367="","","W"&amp;(INT((A367-Lists!$B$2)/7)+1))</f>
        <v/>
      </c>
      <c r="C367" s="10"/>
      <c r="D367" s="10"/>
      <c r="E367" s="9" t="str">
        <f t="shared" si="5"/>
        <v/>
      </c>
      <c r="F367" s="11"/>
      <c r="G367" s="10"/>
      <c r="H367" s="10"/>
      <c r="I367" s="10"/>
      <c r="J367" s="10"/>
      <c r="K367" s="12" t="str">
        <f>IFERROR(IF(J367="","",VLOOKUP(J367,Lists!$K$2:$O$61,5,FALSE)),"")</f>
        <v/>
      </c>
      <c r="L367" s="9" t="str">
        <f>IFERROR(IF(J367="","",VLOOKUP(J367,Lists!$K$2:$O$61,2,FALSE)),"")</f>
        <v/>
      </c>
      <c r="M367" s="9" t="str">
        <f>IFERROR(IF(J367="","",VLOOKUP(J367,Lists!$K$2:$O$61,3,FALSE)),"")</f>
        <v/>
      </c>
      <c r="N367" s="10"/>
      <c r="O367" s="10"/>
      <c r="P367" s="6"/>
      <c r="Q367" s="10"/>
      <c r="R367" s="6"/>
    </row>
    <row r="368" spans="1:18" x14ac:dyDescent="0.25">
      <c r="A368" s="8"/>
      <c r="B368" s="9" t="str">
        <f>IF(A368="","","W"&amp;(INT((A368-Lists!$B$2)/7)+1))</f>
        <v/>
      </c>
      <c r="C368" s="10"/>
      <c r="D368" s="10"/>
      <c r="E368" s="9" t="str">
        <f t="shared" si="5"/>
        <v/>
      </c>
      <c r="F368" s="11"/>
      <c r="G368" s="10"/>
      <c r="H368" s="10"/>
      <c r="I368" s="10"/>
      <c r="J368" s="10"/>
      <c r="K368" s="12" t="str">
        <f>IFERROR(IF(J368="","",VLOOKUP(J368,Lists!$K$2:$O$61,5,FALSE)),"")</f>
        <v/>
      </c>
      <c r="L368" s="9" t="str">
        <f>IFERROR(IF(J368="","",VLOOKUP(J368,Lists!$K$2:$O$61,2,FALSE)),"")</f>
        <v/>
      </c>
      <c r="M368" s="9" t="str">
        <f>IFERROR(IF(J368="","",VLOOKUP(J368,Lists!$K$2:$O$61,3,FALSE)),"")</f>
        <v/>
      </c>
      <c r="N368" s="10"/>
      <c r="O368" s="10"/>
      <c r="P368" s="6"/>
      <c r="Q368" s="10"/>
      <c r="R368" s="6"/>
    </row>
    <row r="369" spans="1:18" x14ac:dyDescent="0.25">
      <c r="A369" s="8"/>
      <c r="B369" s="9" t="str">
        <f>IF(A369="","","W"&amp;(INT((A369-Lists!$B$2)/7)+1))</f>
        <v/>
      </c>
      <c r="C369" s="10"/>
      <c r="D369" s="10"/>
      <c r="E369" s="9" t="str">
        <f t="shared" si="5"/>
        <v/>
      </c>
      <c r="F369" s="11"/>
      <c r="G369" s="10"/>
      <c r="H369" s="10"/>
      <c r="I369" s="10"/>
      <c r="J369" s="10"/>
      <c r="K369" s="12" t="str">
        <f>IFERROR(IF(J369="","",VLOOKUP(J369,Lists!$K$2:$O$61,5,FALSE)),"")</f>
        <v/>
      </c>
      <c r="L369" s="9" t="str">
        <f>IFERROR(IF(J369="","",VLOOKUP(J369,Lists!$K$2:$O$61,2,FALSE)),"")</f>
        <v/>
      </c>
      <c r="M369" s="9" t="str">
        <f>IFERROR(IF(J369="","",VLOOKUP(J369,Lists!$K$2:$O$61,3,FALSE)),"")</f>
        <v/>
      </c>
      <c r="N369" s="10"/>
      <c r="O369" s="10"/>
      <c r="P369" s="6"/>
      <c r="Q369" s="10"/>
      <c r="R369" s="6"/>
    </row>
    <row r="370" spans="1:18" x14ac:dyDescent="0.25">
      <c r="A370" s="8"/>
      <c r="B370" s="9" t="str">
        <f>IF(A370="","","W"&amp;(INT((A370-Lists!$B$2)/7)+1))</f>
        <v/>
      </c>
      <c r="C370" s="10"/>
      <c r="D370" s="10"/>
      <c r="E370" s="9" t="str">
        <f t="shared" si="5"/>
        <v/>
      </c>
      <c r="F370" s="11"/>
      <c r="G370" s="10"/>
      <c r="H370" s="10"/>
      <c r="I370" s="10"/>
      <c r="J370" s="10"/>
      <c r="K370" s="12" t="str">
        <f>IFERROR(IF(J370="","",VLOOKUP(J370,Lists!$K$2:$O$61,5,FALSE)),"")</f>
        <v/>
      </c>
      <c r="L370" s="9" t="str">
        <f>IFERROR(IF(J370="","",VLOOKUP(J370,Lists!$K$2:$O$61,2,FALSE)),"")</f>
        <v/>
      </c>
      <c r="M370" s="9" t="str">
        <f>IFERROR(IF(J370="","",VLOOKUP(J370,Lists!$K$2:$O$61,3,FALSE)),"")</f>
        <v/>
      </c>
      <c r="N370" s="10"/>
      <c r="O370" s="10"/>
      <c r="P370" s="6"/>
      <c r="Q370" s="10"/>
      <c r="R370" s="6"/>
    </row>
    <row r="371" spans="1:18" x14ac:dyDescent="0.25">
      <c r="A371" s="8"/>
      <c r="B371" s="9" t="str">
        <f>IF(A371="","","W"&amp;(INT((A371-Lists!$B$2)/7)+1))</f>
        <v/>
      </c>
      <c r="C371" s="10"/>
      <c r="D371" s="10"/>
      <c r="E371" s="9" t="str">
        <f t="shared" si="5"/>
        <v/>
      </c>
      <c r="F371" s="11"/>
      <c r="G371" s="10"/>
      <c r="H371" s="10"/>
      <c r="I371" s="10"/>
      <c r="J371" s="10"/>
      <c r="K371" s="12" t="str">
        <f>IFERROR(IF(J371="","",VLOOKUP(J371,Lists!$K$2:$O$61,5,FALSE)),"")</f>
        <v/>
      </c>
      <c r="L371" s="9" t="str">
        <f>IFERROR(IF(J371="","",VLOOKUP(J371,Lists!$K$2:$O$61,2,FALSE)),"")</f>
        <v/>
      </c>
      <c r="M371" s="9" t="str">
        <f>IFERROR(IF(J371="","",VLOOKUP(J371,Lists!$K$2:$O$61,3,FALSE)),"")</f>
        <v/>
      </c>
      <c r="N371" s="10"/>
      <c r="O371" s="10"/>
      <c r="P371" s="6"/>
      <c r="Q371" s="10"/>
      <c r="R371" s="6"/>
    </row>
    <row r="372" spans="1:18" x14ac:dyDescent="0.25">
      <c r="A372" s="8"/>
      <c r="B372" s="9" t="str">
        <f>IF(A372="","","W"&amp;(INT((A372-Lists!$B$2)/7)+1))</f>
        <v/>
      </c>
      <c r="C372" s="10"/>
      <c r="D372" s="10"/>
      <c r="E372" s="9" t="str">
        <f t="shared" si="5"/>
        <v/>
      </c>
      <c r="F372" s="11"/>
      <c r="G372" s="10"/>
      <c r="H372" s="10"/>
      <c r="I372" s="10"/>
      <c r="J372" s="10"/>
      <c r="K372" s="12" t="str">
        <f>IFERROR(IF(J372="","",VLOOKUP(J372,Lists!$K$2:$O$61,5,FALSE)),"")</f>
        <v/>
      </c>
      <c r="L372" s="9" t="str">
        <f>IFERROR(IF(J372="","",VLOOKUP(J372,Lists!$K$2:$O$61,2,FALSE)),"")</f>
        <v/>
      </c>
      <c r="M372" s="9" t="str">
        <f>IFERROR(IF(J372="","",VLOOKUP(J372,Lists!$K$2:$O$61,3,FALSE)),"")</f>
        <v/>
      </c>
      <c r="N372" s="10"/>
      <c r="O372" s="10"/>
      <c r="P372" s="6"/>
      <c r="Q372" s="10"/>
      <c r="R372" s="6"/>
    </row>
    <row r="373" spans="1:18" x14ac:dyDescent="0.25">
      <c r="A373" s="8"/>
      <c r="B373" s="9" t="str">
        <f>IF(A373="","","W"&amp;(INT((A373-Lists!$B$2)/7)+1))</f>
        <v/>
      </c>
      <c r="C373" s="10"/>
      <c r="D373" s="10"/>
      <c r="E373" s="9" t="str">
        <f t="shared" si="5"/>
        <v/>
      </c>
      <c r="F373" s="11"/>
      <c r="G373" s="10"/>
      <c r="H373" s="10"/>
      <c r="I373" s="10"/>
      <c r="J373" s="10"/>
      <c r="K373" s="12" t="str">
        <f>IFERROR(IF(J373="","",VLOOKUP(J373,Lists!$K$2:$O$61,5,FALSE)),"")</f>
        <v/>
      </c>
      <c r="L373" s="9" t="str">
        <f>IFERROR(IF(J373="","",VLOOKUP(J373,Lists!$K$2:$O$61,2,FALSE)),"")</f>
        <v/>
      </c>
      <c r="M373" s="9" t="str">
        <f>IFERROR(IF(J373="","",VLOOKUP(J373,Lists!$K$2:$O$61,3,FALSE)),"")</f>
        <v/>
      </c>
      <c r="N373" s="10"/>
      <c r="O373" s="10"/>
      <c r="P373" s="6"/>
      <c r="Q373" s="10"/>
      <c r="R373" s="6"/>
    </row>
    <row r="374" spans="1:18" x14ac:dyDescent="0.25">
      <c r="A374" s="8"/>
      <c r="B374" s="9" t="str">
        <f>IF(A374="","","W"&amp;(INT((A374-Lists!$B$2)/7)+1))</f>
        <v/>
      </c>
      <c r="C374" s="10"/>
      <c r="D374" s="10"/>
      <c r="E374" s="9" t="str">
        <f t="shared" si="5"/>
        <v/>
      </c>
      <c r="F374" s="11"/>
      <c r="G374" s="10"/>
      <c r="H374" s="10"/>
      <c r="I374" s="10"/>
      <c r="J374" s="10"/>
      <c r="K374" s="12" t="str">
        <f>IFERROR(IF(J374="","",VLOOKUP(J374,Lists!$K$2:$O$61,5,FALSE)),"")</f>
        <v/>
      </c>
      <c r="L374" s="9" t="str">
        <f>IFERROR(IF(J374="","",VLOOKUP(J374,Lists!$K$2:$O$61,2,FALSE)),"")</f>
        <v/>
      </c>
      <c r="M374" s="9" t="str">
        <f>IFERROR(IF(J374="","",VLOOKUP(J374,Lists!$K$2:$O$61,3,FALSE)),"")</f>
        <v/>
      </c>
      <c r="N374" s="10"/>
      <c r="O374" s="10"/>
      <c r="P374" s="6"/>
      <c r="Q374" s="10"/>
      <c r="R374" s="6"/>
    </row>
    <row r="375" spans="1:18" x14ac:dyDescent="0.25">
      <c r="A375" s="8"/>
      <c r="B375" s="9" t="str">
        <f>IF(A375="","","W"&amp;(INT((A375-Lists!$B$2)/7)+1))</f>
        <v/>
      </c>
      <c r="C375" s="10"/>
      <c r="D375" s="10"/>
      <c r="E375" s="9" t="str">
        <f t="shared" si="5"/>
        <v/>
      </c>
      <c r="F375" s="11"/>
      <c r="G375" s="10"/>
      <c r="H375" s="10"/>
      <c r="I375" s="10"/>
      <c r="J375" s="10"/>
      <c r="K375" s="12" t="str">
        <f>IFERROR(IF(J375="","",VLOOKUP(J375,Lists!$K$2:$O$61,5,FALSE)),"")</f>
        <v/>
      </c>
      <c r="L375" s="9" t="str">
        <f>IFERROR(IF(J375="","",VLOOKUP(J375,Lists!$K$2:$O$61,2,FALSE)),"")</f>
        <v/>
      </c>
      <c r="M375" s="9" t="str">
        <f>IFERROR(IF(J375="","",VLOOKUP(J375,Lists!$K$2:$O$61,3,FALSE)),"")</f>
        <v/>
      </c>
      <c r="N375" s="10"/>
      <c r="O375" s="10"/>
      <c r="P375" s="6"/>
      <c r="Q375" s="10"/>
      <c r="R375" s="6"/>
    </row>
    <row r="376" spans="1:18" x14ac:dyDescent="0.25">
      <c r="A376" s="8"/>
      <c r="B376" s="9" t="str">
        <f>IF(A376="","","W"&amp;(INT((A376-Lists!$B$2)/7)+1))</f>
        <v/>
      </c>
      <c r="C376" s="10"/>
      <c r="D376" s="10"/>
      <c r="E376" s="9" t="str">
        <f t="shared" si="5"/>
        <v/>
      </c>
      <c r="F376" s="11"/>
      <c r="G376" s="10"/>
      <c r="H376" s="10"/>
      <c r="I376" s="10"/>
      <c r="J376" s="10"/>
      <c r="K376" s="12" t="str">
        <f>IFERROR(IF(J376="","",VLOOKUP(J376,Lists!$K$2:$O$61,5,FALSE)),"")</f>
        <v/>
      </c>
      <c r="L376" s="9" t="str">
        <f>IFERROR(IF(J376="","",VLOOKUP(J376,Lists!$K$2:$O$61,2,FALSE)),"")</f>
        <v/>
      </c>
      <c r="M376" s="9" t="str">
        <f>IFERROR(IF(J376="","",VLOOKUP(J376,Lists!$K$2:$O$61,3,FALSE)),"")</f>
        <v/>
      </c>
      <c r="N376" s="10"/>
      <c r="O376" s="10"/>
      <c r="P376" s="6"/>
      <c r="Q376" s="10"/>
      <c r="R376" s="6"/>
    </row>
    <row r="377" spans="1:18" x14ac:dyDescent="0.25">
      <c r="A377" s="8"/>
      <c r="B377" s="9" t="str">
        <f>IF(A377="","","W"&amp;(INT((A377-Lists!$B$2)/7)+1))</f>
        <v/>
      </c>
      <c r="C377" s="10"/>
      <c r="D377" s="10"/>
      <c r="E377" s="9" t="str">
        <f t="shared" si="5"/>
        <v/>
      </c>
      <c r="F377" s="11"/>
      <c r="G377" s="10"/>
      <c r="H377" s="10"/>
      <c r="I377" s="10"/>
      <c r="J377" s="10"/>
      <c r="K377" s="12" t="str">
        <f>IFERROR(IF(J377="","",VLOOKUP(J377,Lists!$K$2:$O$61,5,FALSE)),"")</f>
        <v/>
      </c>
      <c r="L377" s="9" t="str">
        <f>IFERROR(IF(J377="","",VLOOKUP(J377,Lists!$K$2:$O$61,2,FALSE)),"")</f>
        <v/>
      </c>
      <c r="M377" s="9" t="str">
        <f>IFERROR(IF(J377="","",VLOOKUP(J377,Lists!$K$2:$O$61,3,FALSE)),"")</f>
        <v/>
      </c>
      <c r="N377" s="10"/>
      <c r="O377" s="10"/>
      <c r="P377" s="6"/>
      <c r="Q377" s="10"/>
      <c r="R377" s="6"/>
    </row>
    <row r="378" spans="1:18" x14ac:dyDescent="0.25">
      <c r="A378" s="8"/>
      <c r="B378" s="9" t="str">
        <f>IF(A378="","","W"&amp;(INT((A378-Lists!$B$2)/7)+1))</f>
        <v/>
      </c>
      <c r="C378" s="10"/>
      <c r="D378" s="10"/>
      <c r="E378" s="9" t="str">
        <f t="shared" si="5"/>
        <v/>
      </c>
      <c r="F378" s="11"/>
      <c r="G378" s="10"/>
      <c r="H378" s="10"/>
      <c r="I378" s="10"/>
      <c r="J378" s="10"/>
      <c r="K378" s="12" t="str">
        <f>IFERROR(IF(J378="","",VLOOKUP(J378,Lists!$K$2:$O$61,5,FALSE)),"")</f>
        <v/>
      </c>
      <c r="L378" s="9" t="str">
        <f>IFERROR(IF(J378="","",VLOOKUP(J378,Lists!$K$2:$O$61,2,FALSE)),"")</f>
        <v/>
      </c>
      <c r="M378" s="9" t="str">
        <f>IFERROR(IF(J378="","",VLOOKUP(J378,Lists!$K$2:$O$61,3,FALSE)),"")</f>
        <v/>
      </c>
      <c r="N378" s="10"/>
      <c r="O378" s="10"/>
      <c r="P378" s="6"/>
      <c r="Q378" s="10"/>
      <c r="R378" s="6"/>
    </row>
    <row r="379" spans="1:18" x14ac:dyDescent="0.25">
      <c r="A379" s="8"/>
      <c r="B379" s="9" t="str">
        <f>IF(A379="","","W"&amp;(INT((A379-Lists!$B$2)/7)+1))</f>
        <v/>
      </c>
      <c r="C379" s="10"/>
      <c r="D379" s="10"/>
      <c r="E379" s="9" t="str">
        <f t="shared" si="5"/>
        <v/>
      </c>
      <c r="F379" s="11"/>
      <c r="G379" s="10"/>
      <c r="H379" s="10"/>
      <c r="I379" s="10"/>
      <c r="J379" s="10"/>
      <c r="K379" s="12" t="str">
        <f>IFERROR(IF(J379="","",VLOOKUP(J379,Lists!$K$2:$O$61,5,FALSE)),"")</f>
        <v/>
      </c>
      <c r="L379" s="9" t="str">
        <f>IFERROR(IF(J379="","",VLOOKUP(J379,Lists!$K$2:$O$61,2,FALSE)),"")</f>
        <v/>
      </c>
      <c r="M379" s="9" t="str">
        <f>IFERROR(IF(J379="","",VLOOKUP(J379,Lists!$K$2:$O$61,3,FALSE)),"")</f>
        <v/>
      </c>
      <c r="N379" s="10"/>
      <c r="O379" s="10"/>
      <c r="P379" s="6"/>
      <c r="Q379" s="10"/>
      <c r="R379" s="6"/>
    </row>
    <row r="380" spans="1:18" x14ac:dyDescent="0.25">
      <c r="A380" s="8"/>
      <c r="B380" s="9" t="str">
        <f>IF(A380="","","W"&amp;(INT((A380-Lists!$B$2)/7)+1))</f>
        <v/>
      </c>
      <c r="C380" s="10"/>
      <c r="D380" s="10"/>
      <c r="E380" s="9" t="str">
        <f t="shared" si="5"/>
        <v/>
      </c>
      <c r="F380" s="11"/>
      <c r="G380" s="10"/>
      <c r="H380" s="10"/>
      <c r="I380" s="10"/>
      <c r="J380" s="10"/>
      <c r="K380" s="12" t="str">
        <f>IFERROR(IF(J380="","",VLOOKUP(J380,Lists!$K$2:$O$61,5,FALSE)),"")</f>
        <v/>
      </c>
      <c r="L380" s="9" t="str">
        <f>IFERROR(IF(J380="","",VLOOKUP(J380,Lists!$K$2:$O$61,2,FALSE)),"")</f>
        <v/>
      </c>
      <c r="M380" s="9" t="str">
        <f>IFERROR(IF(J380="","",VLOOKUP(J380,Lists!$K$2:$O$61,3,FALSE)),"")</f>
        <v/>
      </c>
      <c r="N380" s="10"/>
      <c r="O380" s="10"/>
      <c r="P380" s="6"/>
      <c r="Q380" s="10"/>
      <c r="R380" s="6"/>
    </row>
    <row r="381" spans="1:18" x14ac:dyDescent="0.25">
      <c r="A381" s="8"/>
      <c r="B381" s="9" t="str">
        <f>IF(A381="","","W"&amp;(INT((A381-Lists!$B$2)/7)+1))</f>
        <v/>
      </c>
      <c r="C381" s="10"/>
      <c r="D381" s="10"/>
      <c r="E381" s="9" t="str">
        <f t="shared" si="5"/>
        <v/>
      </c>
      <c r="F381" s="11"/>
      <c r="G381" s="10"/>
      <c r="H381" s="10"/>
      <c r="I381" s="10"/>
      <c r="J381" s="10"/>
      <c r="K381" s="12" t="str">
        <f>IFERROR(IF(J381="","",VLOOKUP(J381,Lists!$K$2:$O$61,5,FALSE)),"")</f>
        <v/>
      </c>
      <c r="L381" s="9" t="str">
        <f>IFERROR(IF(J381="","",VLOOKUP(J381,Lists!$K$2:$O$61,2,FALSE)),"")</f>
        <v/>
      </c>
      <c r="M381" s="9" t="str">
        <f>IFERROR(IF(J381="","",VLOOKUP(J381,Lists!$K$2:$O$61,3,FALSE)),"")</f>
        <v/>
      </c>
      <c r="N381" s="10"/>
      <c r="O381" s="10"/>
      <c r="P381" s="6"/>
      <c r="Q381" s="10"/>
      <c r="R381" s="6"/>
    </row>
    <row r="382" spans="1:18" x14ac:dyDescent="0.25">
      <c r="A382" s="8"/>
      <c r="B382" s="9" t="str">
        <f>IF(A382="","","W"&amp;(INT((A382-Lists!$B$2)/7)+1))</f>
        <v/>
      </c>
      <c r="C382" s="10"/>
      <c r="D382" s="10"/>
      <c r="E382" s="9" t="str">
        <f t="shared" si="5"/>
        <v/>
      </c>
      <c r="F382" s="11"/>
      <c r="G382" s="10"/>
      <c r="H382" s="10"/>
      <c r="I382" s="10"/>
      <c r="J382" s="10"/>
      <c r="K382" s="12" t="str">
        <f>IFERROR(IF(J382="","",VLOOKUP(J382,Lists!$K$2:$O$61,5,FALSE)),"")</f>
        <v/>
      </c>
      <c r="L382" s="9" t="str">
        <f>IFERROR(IF(J382="","",VLOOKUP(J382,Lists!$K$2:$O$61,2,FALSE)),"")</f>
        <v/>
      </c>
      <c r="M382" s="9" t="str">
        <f>IFERROR(IF(J382="","",VLOOKUP(J382,Lists!$K$2:$O$61,3,FALSE)),"")</f>
        <v/>
      </c>
      <c r="N382" s="10"/>
      <c r="O382" s="10"/>
      <c r="P382" s="6"/>
      <c r="Q382" s="10"/>
      <c r="R382" s="6"/>
    </row>
    <row r="383" spans="1:18" x14ac:dyDescent="0.25">
      <c r="A383" s="8"/>
      <c r="B383" s="9" t="str">
        <f>IF(A383="","","W"&amp;(INT((A383-Lists!$B$2)/7)+1))</f>
        <v/>
      </c>
      <c r="C383" s="10"/>
      <c r="D383" s="10"/>
      <c r="E383" s="9" t="str">
        <f t="shared" si="5"/>
        <v/>
      </c>
      <c r="F383" s="11"/>
      <c r="G383" s="10"/>
      <c r="H383" s="10"/>
      <c r="I383" s="10"/>
      <c r="J383" s="10"/>
      <c r="K383" s="12" t="str">
        <f>IFERROR(IF(J383="","",VLOOKUP(J383,Lists!$K$2:$O$61,5,FALSE)),"")</f>
        <v/>
      </c>
      <c r="L383" s="9" t="str">
        <f>IFERROR(IF(J383="","",VLOOKUP(J383,Lists!$K$2:$O$61,2,FALSE)),"")</f>
        <v/>
      </c>
      <c r="M383" s="9" t="str">
        <f>IFERROR(IF(J383="","",VLOOKUP(J383,Lists!$K$2:$O$61,3,FALSE)),"")</f>
        <v/>
      </c>
      <c r="N383" s="10"/>
      <c r="O383" s="10"/>
      <c r="P383" s="6"/>
      <c r="Q383" s="10"/>
      <c r="R383" s="6"/>
    </row>
    <row r="384" spans="1:18" x14ac:dyDescent="0.25">
      <c r="A384" s="8"/>
      <c r="B384" s="9" t="str">
        <f>IF(A384="","","W"&amp;(INT((A384-Lists!$B$2)/7)+1))</f>
        <v/>
      </c>
      <c r="C384" s="10"/>
      <c r="D384" s="10"/>
      <c r="E384" s="9" t="str">
        <f t="shared" si="5"/>
        <v/>
      </c>
      <c r="F384" s="11"/>
      <c r="G384" s="10"/>
      <c r="H384" s="10"/>
      <c r="I384" s="10"/>
      <c r="J384" s="10"/>
      <c r="K384" s="12" t="str">
        <f>IFERROR(IF(J384="","",VLOOKUP(J384,Lists!$K$2:$O$61,5,FALSE)),"")</f>
        <v/>
      </c>
      <c r="L384" s="9" t="str">
        <f>IFERROR(IF(J384="","",VLOOKUP(J384,Lists!$K$2:$O$61,2,FALSE)),"")</f>
        <v/>
      </c>
      <c r="M384" s="9" t="str">
        <f>IFERROR(IF(J384="","",VLOOKUP(J384,Lists!$K$2:$O$61,3,FALSE)),"")</f>
        <v/>
      </c>
      <c r="N384" s="10"/>
      <c r="O384" s="10"/>
      <c r="P384" s="6"/>
      <c r="Q384" s="10"/>
      <c r="R384" s="6"/>
    </row>
    <row r="385" spans="1:18" x14ac:dyDescent="0.25">
      <c r="A385" s="8"/>
      <c r="B385" s="9" t="str">
        <f>IF(A385="","","W"&amp;(INT((A385-Lists!$B$2)/7)+1))</f>
        <v/>
      </c>
      <c r="C385" s="10"/>
      <c r="D385" s="10"/>
      <c r="E385" s="9" t="str">
        <f t="shared" si="5"/>
        <v/>
      </c>
      <c r="F385" s="11"/>
      <c r="G385" s="10"/>
      <c r="H385" s="10"/>
      <c r="I385" s="10"/>
      <c r="J385" s="10"/>
      <c r="K385" s="12" t="str">
        <f>IFERROR(IF(J385="","",VLOOKUP(J385,Lists!$K$2:$O$61,5,FALSE)),"")</f>
        <v/>
      </c>
      <c r="L385" s="9" t="str">
        <f>IFERROR(IF(J385="","",VLOOKUP(J385,Lists!$K$2:$O$61,2,FALSE)),"")</f>
        <v/>
      </c>
      <c r="M385" s="9" t="str">
        <f>IFERROR(IF(J385="","",VLOOKUP(J385,Lists!$K$2:$O$61,3,FALSE)),"")</f>
        <v/>
      </c>
      <c r="N385" s="10"/>
      <c r="O385" s="10"/>
      <c r="P385" s="6"/>
      <c r="Q385" s="10"/>
      <c r="R385" s="6"/>
    </row>
    <row r="386" spans="1:18" x14ac:dyDescent="0.25">
      <c r="A386" s="8"/>
      <c r="B386" s="9" t="str">
        <f>IF(A386="","","W"&amp;(INT((A386-Lists!$B$2)/7)+1))</f>
        <v/>
      </c>
      <c r="C386" s="10"/>
      <c r="D386" s="10"/>
      <c r="E386" s="9" t="str">
        <f t="shared" ref="E386:E449" si="6">IF(OR(C386="",D386=""),"",IF(C386=D386,"SELF-REVIEW","OK"))</f>
        <v/>
      </c>
      <c r="F386" s="11"/>
      <c r="G386" s="10"/>
      <c r="H386" s="10"/>
      <c r="I386" s="10"/>
      <c r="J386" s="10"/>
      <c r="K386" s="12" t="str">
        <f>IFERROR(IF(J386="","",VLOOKUP(J386,Lists!$K$2:$O$61,5,FALSE)),"")</f>
        <v/>
      </c>
      <c r="L386" s="9" t="str">
        <f>IFERROR(IF(J386="","",VLOOKUP(J386,Lists!$K$2:$O$61,2,FALSE)),"")</f>
        <v/>
      </c>
      <c r="M386" s="9" t="str">
        <f>IFERROR(IF(J386="","",VLOOKUP(J386,Lists!$K$2:$O$61,3,FALSE)),"")</f>
        <v/>
      </c>
      <c r="N386" s="10"/>
      <c r="O386" s="10"/>
      <c r="P386" s="6"/>
      <c r="Q386" s="10"/>
      <c r="R386" s="6"/>
    </row>
    <row r="387" spans="1:18" x14ac:dyDescent="0.25">
      <c r="A387" s="8"/>
      <c r="B387" s="9" t="str">
        <f>IF(A387="","","W"&amp;(INT((A387-Lists!$B$2)/7)+1))</f>
        <v/>
      </c>
      <c r="C387" s="10"/>
      <c r="D387" s="10"/>
      <c r="E387" s="9" t="str">
        <f t="shared" si="6"/>
        <v/>
      </c>
      <c r="F387" s="11"/>
      <c r="G387" s="10"/>
      <c r="H387" s="10"/>
      <c r="I387" s="10"/>
      <c r="J387" s="10"/>
      <c r="K387" s="12" t="str">
        <f>IFERROR(IF(J387="","",VLOOKUP(J387,Lists!$K$2:$O$61,5,FALSE)),"")</f>
        <v/>
      </c>
      <c r="L387" s="9" t="str">
        <f>IFERROR(IF(J387="","",VLOOKUP(J387,Lists!$K$2:$O$61,2,FALSE)),"")</f>
        <v/>
      </c>
      <c r="M387" s="9" t="str">
        <f>IFERROR(IF(J387="","",VLOOKUP(J387,Lists!$K$2:$O$61,3,FALSE)),"")</f>
        <v/>
      </c>
      <c r="N387" s="10"/>
      <c r="O387" s="10"/>
      <c r="P387" s="6"/>
      <c r="Q387" s="10"/>
      <c r="R387" s="6"/>
    </row>
    <row r="388" spans="1:18" x14ac:dyDescent="0.25">
      <c r="A388" s="8"/>
      <c r="B388" s="9" t="str">
        <f>IF(A388="","","W"&amp;(INT((A388-Lists!$B$2)/7)+1))</f>
        <v/>
      </c>
      <c r="C388" s="10"/>
      <c r="D388" s="10"/>
      <c r="E388" s="9" t="str">
        <f t="shared" si="6"/>
        <v/>
      </c>
      <c r="F388" s="11"/>
      <c r="G388" s="10"/>
      <c r="H388" s="10"/>
      <c r="I388" s="10"/>
      <c r="J388" s="10"/>
      <c r="K388" s="12" t="str">
        <f>IFERROR(IF(J388="","",VLOOKUP(J388,Lists!$K$2:$O$61,5,FALSE)),"")</f>
        <v/>
      </c>
      <c r="L388" s="9" t="str">
        <f>IFERROR(IF(J388="","",VLOOKUP(J388,Lists!$K$2:$O$61,2,FALSE)),"")</f>
        <v/>
      </c>
      <c r="M388" s="9" t="str">
        <f>IFERROR(IF(J388="","",VLOOKUP(J388,Lists!$K$2:$O$61,3,FALSE)),"")</f>
        <v/>
      </c>
      <c r="N388" s="10"/>
      <c r="O388" s="10"/>
      <c r="P388" s="6"/>
      <c r="Q388" s="10"/>
      <c r="R388" s="6"/>
    </row>
    <row r="389" spans="1:18" x14ac:dyDescent="0.25">
      <c r="A389" s="8"/>
      <c r="B389" s="9" t="str">
        <f>IF(A389="","","W"&amp;(INT((A389-Lists!$B$2)/7)+1))</f>
        <v/>
      </c>
      <c r="C389" s="10"/>
      <c r="D389" s="10"/>
      <c r="E389" s="9" t="str">
        <f t="shared" si="6"/>
        <v/>
      </c>
      <c r="F389" s="11"/>
      <c r="G389" s="10"/>
      <c r="H389" s="10"/>
      <c r="I389" s="10"/>
      <c r="J389" s="10"/>
      <c r="K389" s="12" t="str">
        <f>IFERROR(IF(J389="","",VLOOKUP(J389,Lists!$K$2:$O$61,5,FALSE)),"")</f>
        <v/>
      </c>
      <c r="L389" s="9" t="str">
        <f>IFERROR(IF(J389="","",VLOOKUP(J389,Lists!$K$2:$O$61,2,FALSE)),"")</f>
        <v/>
      </c>
      <c r="M389" s="9" t="str">
        <f>IFERROR(IF(J389="","",VLOOKUP(J389,Lists!$K$2:$O$61,3,FALSE)),"")</f>
        <v/>
      </c>
      <c r="N389" s="10"/>
      <c r="O389" s="10"/>
      <c r="P389" s="6"/>
      <c r="Q389" s="10"/>
      <c r="R389" s="6"/>
    </row>
    <row r="390" spans="1:18" x14ac:dyDescent="0.25">
      <c r="A390" s="8"/>
      <c r="B390" s="9" t="str">
        <f>IF(A390="","","W"&amp;(INT((A390-Lists!$B$2)/7)+1))</f>
        <v/>
      </c>
      <c r="C390" s="10"/>
      <c r="D390" s="10"/>
      <c r="E390" s="9" t="str">
        <f t="shared" si="6"/>
        <v/>
      </c>
      <c r="F390" s="11"/>
      <c r="G390" s="10"/>
      <c r="H390" s="10"/>
      <c r="I390" s="10"/>
      <c r="J390" s="10"/>
      <c r="K390" s="12" t="str">
        <f>IFERROR(IF(J390="","",VLOOKUP(J390,Lists!$K$2:$O$61,5,FALSE)),"")</f>
        <v/>
      </c>
      <c r="L390" s="9" t="str">
        <f>IFERROR(IF(J390="","",VLOOKUP(J390,Lists!$K$2:$O$61,2,FALSE)),"")</f>
        <v/>
      </c>
      <c r="M390" s="9" t="str">
        <f>IFERROR(IF(J390="","",VLOOKUP(J390,Lists!$K$2:$O$61,3,FALSE)),"")</f>
        <v/>
      </c>
      <c r="N390" s="10"/>
      <c r="O390" s="10"/>
      <c r="P390" s="6"/>
      <c r="Q390" s="10"/>
      <c r="R390" s="6"/>
    </row>
    <row r="391" spans="1:18" x14ac:dyDescent="0.25">
      <c r="A391" s="8"/>
      <c r="B391" s="9" t="str">
        <f>IF(A391="","","W"&amp;(INT((A391-Lists!$B$2)/7)+1))</f>
        <v/>
      </c>
      <c r="C391" s="10"/>
      <c r="D391" s="10"/>
      <c r="E391" s="9" t="str">
        <f t="shared" si="6"/>
        <v/>
      </c>
      <c r="F391" s="11"/>
      <c r="G391" s="10"/>
      <c r="H391" s="10"/>
      <c r="I391" s="10"/>
      <c r="J391" s="10"/>
      <c r="K391" s="12" t="str">
        <f>IFERROR(IF(J391="","",VLOOKUP(J391,Lists!$K$2:$O$61,5,FALSE)),"")</f>
        <v/>
      </c>
      <c r="L391" s="9" t="str">
        <f>IFERROR(IF(J391="","",VLOOKUP(J391,Lists!$K$2:$O$61,2,FALSE)),"")</f>
        <v/>
      </c>
      <c r="M391" s="9" t="str">
        <f>IFERROR(IF(J391="","",VLOOKUP(J391,Lists!$K$2:$O$61,3,FALSE)),"")</f>
        <v/>
      </c>
      <c r="N391" s="10"/>
      <c r="O391" s="10"/>
      <c r="P391" s="6"/>
      <c r="Q391" s="10"/>
      <c r="R391" s="6"/>
    </row>
    <row r="392" spans="1:18" x14ac:dyDescent="0.25">
      <c r="A392" s="8"/>
      <c r="B392" s="9" t="str">
        <f>IF(A392="","","W"&amp;(INT((A392-Lists!$B$2)/7)+1))</f>
        <v/>
      </c>
      <c r="C392" s="10"/>
      <c r="D392" s="10"/>
      <c r="E392" s="9" t="str">
        <f t="shared" si="6"/>
        <v/>
      </c>
      <c r="F392" s="11"/>
      <c r="G392" s="10"/>
      <c r="H392" s="10"/>
      <c r="I392" s="10"/>
      <c r="J392" s="10"/>
      <c r="K392" s="12" t="str">
        <f>IFERROR(IF(J392="","",VLOOKUP(J392,Lists!$K$2:$O$61,5,FALSE)),"")</f>
        <v/>
      </c>
      <c r="L392" s="9" t="str">
        <f>IFERROR(IF(J392="","",VLOOKUP(J392,Lists!$K$2:$O$61,2,FALSE)),"")</f>
        <v/>
      </c>
      <c r="M392" s="9" t="str">
        <f>IFERROR(IF(J392="","",VLOOKUP(J392,Lists!$K$2:$O$61,3,FALSE)),"")</f>
        <v/>
      </c>
      <c r="N392" s="10"/>
      <c r="O392" s="10"/>
      <c r="P392" s="6"/>
      <c r="Q392" s="10"/>
      <c r="R392" s="6"/>
    </row>
    <row r="393" spans="1:18" x14ac:dyDescent="0.25">
      <c r="A393" s="8"/>
      <c r="B393" s="9" t="str">
        <f>IF(A393="","","W"&amp;(INT((A393-Lists!$B$2)/7)+1))</f>
        <v/>
      </c>
      <c r="C393" s="10"/>
      <c r="D393" s="10"/>
      <c r="E393" s="9" t="str">
        <f t="shared" si="6"/>
        <v/>
      </c>
      <c r="F393" s="11"/>
      <c r="G393" s="10"/>
      <c r="H393" s="10"/>
      <c r="I393" s="10"/>
      <c r="J393" s="10"/>
      <c r="K393" s="12" t="str">
        <f>IFERROR(IF(J393="","",VLOOKUP(J393,Lists!$K$2:$O$61,5,FALSE)),"")</f>
        <v/>
      </c>
      <c r="L393" s="9" t="str">
        <f>IFERROR(IF(J393="","",VLOOKUP(J393,Lists!$K$2:$O$61,2,FALSE)),"")</f>
        <v/>
      </c>
      <c r="M393" s="9" t="str">
        <f>IFERROR(IF(J393="","",VLOOKUP(J393,Lists!$K$2:$O$61,3,FALSE)),"")</f>
        <v/>
      </c>
      <c r="N393" s="10"/>
      <c r="O393" s="10"/>
      <c r="P393" s="6"/>
      <c r="Q393" s="10"/>
      <c r="R393" s="6"/>
    </row>
    <row r="394" spans="1:18" x14ac:dyDescent="0.25">
      <c r="A394" s="8"/>
      <c r="B394" s="9" t="str">
        <f>IF(A394="","","W"&amp;(INT((A394-Lists!$B$2)/7)+1))</f>
        <v/>
      </c>
      <c r="C394" s="10"/>
      <c r="D394" s="10"/>
      <c r="E394" s="9" t="str">
        <f t="shared" si="6"/>
        <v/>
      </c>
      <c r="F394" s="11"/>
      <c r="G394" s="10"/>
      <c r="H394" s="10"/>
      <c r="I394" s="10"/>
      <c r="J394" s="10"/>
      <c r="K394" s="12" t="str">
        <f>IFERROR(IF(J394="","",VLOOKUP(J394,Lists!$K$2:$O$61,5,FALSE)),"")</f>
        <v/>
      </c>
      <c r="L394" s="9" t="str">
        <f>IFERROR(IF(J394="","",VLOOKUP(J394,Lists!$K$2:$O$61,2,FALSE)),"")</f>
        <v/>
      </c>
      <c r="M394" s="9" t="str">
        <f>IFERROR(IF(J394="","",VLOOKUP(J394,Lists!$K$2:$O$61,3,FALSE)),"")</f>
        <v/>
      </c>
      <c r="N394" s="10"/>
      <c r="O394" s="10"/>
      <c r="P394" s="6"/>
      <c r="Q394" s="10"/>
      <c r="R394" s="6"/>
    </row>
    <row r="395" spans="1:18" x14ac:dyDescent="0.25">
      <c r="A395" s="8"/>
      <c r="B395" s="9" t="str">
        <f>IF(A395="","","W"&amp;(INT((A395-Lists!$B$2)/7)+1))</f>
        <v/>
      </c>
      <c r="C395" s="10"/>
      <c r="D395" s="10"/>
      <c r="E395" s="9" t="str">
        <f t="shared" si="6"/>
        <v/>
      </c>
      <c r="F395" s="11"/>
      <c r="G395" s="10"/>
      <c r="H395" s="10"/>
      <c r="I395" s="10"/>
      <c r="J395" s="10"/>
      <c r="K395" s="12" t="str">
        <f>IFERROR(IF(J395="","",VLOOKUP(J395,Lists!$K$2:$O$61,5,FALSE)),"")</f>
        <v/>
      </c>
      <c r="L395" s="9" t="str">
        <f>IFERROR(IF(J395="","",VLOOKUP(J395,Lists!$K$2:$O$61,2,FALSE)),"")</f>
        <v/>
      </c>
      <c r="M395" s="9" t="str">
        <f>IFERROR(IF(J395="","",VLOOKUP(J395,Lists!$K$2:$O$61,3,FALSE)),"")</f>
        <v/>
      </c>
      <c r="N395" s="10"/>
      <c r="O395" s="10"/>
      <c r="P395" s="6"/>
      <c r="Q395" s="10"/>
      <c r="R395" s="6"/>
    </row>
    <row r="396" spans="1:18" x14ac:dyDescent="0.25">
      <c r="A396" s="8"/>
      <c r="B396" s="9" t="str">
        <f>IF(A396="","","W"&amp;(INT((A396-Lists!$B$2)/7)+1))</f>
        <v/>
      </c>
      <c r="C396" s="10"/>
      <c r="D396" s="10"/>
      <c r="E396" s="9" t="str">
        <f t="shared" si="6"/>
        <v/>
      </c>
      <c r="F396" s="11"/>
      <c r="G396" s="10"/>
      <c r="H396" s="10"/>
      <c r="I396" s="10"/>
      <c r="J396" s="10"/>
      <c r="K396" s="12" t="str">
        <f>IFERROR(IF(J396="","",VLOOKUP(J396,Lists!$K$2:$O$61,5,FALSE)),"")</f>
        <v/>
      </c>
      <c r="L396" s="9" t="str">
        <f>IFERROR(IF(J396="","",VLOOKUP(J396,Lists!$K$2:$O$61,2,FALSE)),"")</f>
        <v/>
      </c>
      <c r="M396" s="9" t="str">
        <f>IFERROR(IF(J396="","",VLOOKUP(J396,Lists!$K$2:$O$61,3,FALSE)),"")</f>
        <v/>
      </c>
      <c r="N396" s="10"/>
      <c r="O396" s="10"/>
      <c r="P396" s="6"/>
      <c r="Q396" s="10"/>
      <c r="R396" s="6"/>
    </row>
    <row r="397" spans="1:18" x14ac:dyDescent="0.25">
      <c r="A397" s="8"/>
      <c r="B397" s="9" t="str">
        <f>IF(A397="","","W"&amp;(INT((A397-Lists!$B$2)/7)+1))</f>
        <v/>
      </c>
      <c r="C397" s="10"/>
      <c r="D397" s="10"/>
      <c r="E397" s="9" t="str">
        <f t="shared" si="6"/>
        <v/>
      </c>
      <c r="F397" s="11"/>
      <c r="G397" s="10"/>
      <c r="H397" s="10"/>
      <c r="I397" s="10"/>
      <c r="J397" s="10"/>
      <c r="K397" s="12" t="str">
        <f>IFERROR(IF(J397="","",VLOOKUP(J397,Lists!$K$2:$O$61,5,FALSE)),"")</f>
        <v/>
      </c>
      <c r="L397" s="9" t="str">
        <f>IFERROR(IF(J397="","",VLOOKUP(J397,Lists!$K$2:$O$61,2,FALSE)),"")</f>
        <v/>
      </c>
      <c r="M397" s="9" t="str">
        <f>IFERROR(IF(J397="","",VLOOKUP(J397,Lists!$K$2:$O$61,3,FALSE)),"")</f>
        <v/>
      </c>
      <c r="N397" s="10"/>
      <c r="O397" s="10"/>
      <c r="P397" s="6"/>
      <c r="Q397" s="10"/>
      <c r="R397" s="6"/>
    </row>
    <row r="398" spans="1:18" x14ac:dyDescent="0.25">
      <c r="A398" s="8"/>
      <c r="B398" s="9" t="str">
        <f>IF(A398="","","W"&amp;(INT((A398-Lists!$B$2)/7)+1))</f>
        <v/>
      </c>
      <c r="C398" s="10"/>
      <c r="D398" s="10"/>
      <c r="E398" s="9" t="str">
        <f t="shared" si="6"/>
        <v/>
      </c>
      <c r="F398" s="11"/>
      <c r="G398" s="10"/>
      <c r="H398" s="10"/>
      <c r="I398" s="10"/>
      <c r="J398" s="10"/>
      <c r="K398" s="12" t="str">
        <f>IFERROR(IF(J398="","",VLOOKUP(J398,Lists!$K$2:$O$61,5,FALSE)),"")</f>
        <v/>
      </c>
      <c r="L398" s="9" t="str">
        <f>IFERROR(IF(J398="","",VLOOKUP(J398,Lists!$K$2:$O$61,2,FALSE)),"")</f>
        <v/>
      </c>
      <c r="M398" s="9" t="str">
        <f>IFERROR(IF(J398="","",VLOOKUP(J398,Lists!$K$2:$O$61,3,FALSE)),"")</f>
        <v/>
      </c>
      <c r="N398" s="10"/>
      <c r="O398" s="10"/>
      <c r="P398" s="6"/>
      <c r="Q398" s="10"/>
      <c r="R398" s="6"/>
    </row>
    <row r="399" spans="1:18" x14ac:dyDescent="0.25">
      <c r="A399" s="8"/>
      <c r="B399" s="9" t="str">
        <f>IF(A399="","","W"&amp;(INT((A399-Lists!$B$2)/7)+1))</f>
        <v/>
      </c>
      <c r="C399" s="10"/>
      <c r="D399" s="10"/>
      <c r="E399" s="9" t="str">
        <f t="shared" si="6"/>
        <v/>
      </c>
      <c r="F399" s="11"/>
      <c r="G399" s="10"/>
      <c r="H399" s="10"/>
      <c r="I399" s="10"/>
      <c r="J399" s="10"/>
      <c r="K399" s="12" t="str">
        <f>IFERROR(IF(J399="","",VLOOKUP(J399,Lists!$K$2:$O$61,5,FALSE)),"")</f>
        <v/>
      </c>
      <c r="L399" s="9" t="str">
        <f>IFERROR(IF(J399="","",VLOOKUP(J399,Lists!$K$2:$O$61,2,FALSE)),"")</f>
        <v/>
      </c>
      <c r="M399" s="9" t="str">
        <f>IFERROR(IF(J399="","",VLOOKUP(J399,Lists!$K$2:$O$61,3,FALSE)),"")</f>
        <v/>
      </c>
      <c r="N399" s="10"/>
      <c r="O399" s="10"/>
      <c r="P399" s="6"/>
      <c r="Q399" s="10"/>
      <c r="R399" s="6"/>
    </row>
    <row r="400" spans="1:18" x14ac:dyDescent="0.25">
      <c r="A400" s="8"/>
      <c r="B400" s="9" t="str">
        <f>IF(A400="","","W"&amp;(INT((A400-Lists!$B$2)/7)+1))</f>
        <v/>
      </c>
      <c r="C400" s="10"/>
      <c r="D400" s="10"/>
      <c r="E400" s="9" t="str">
        <f t="shared" si="6"/>
        <v/>
      </c>
      <c r="F400" s="11"/>
      <c r="G400" s="10"/>
      <c r="H400" s="10"/>
      <c r="I400" s="10"/>
      <c r="J400" s="10"/>
      <c r="K400" s="12" t="str">
        <f>IFERROR(IF(J400="","",VLOOKUP(J400,Lists!$K$2:$O$61,5,FALSE)),"")</f>
        <v/>
      </c>
      <c r="L400" s="9" t="str">
        <f>IFERROR(IF(J400="","",VLOOKUP(J400,Lists!$K$2:$O$61,2,FALSE)),"")</f>
        <v/>
      </c>
      <c r="M400" s="9" t="str">
        <f>IFERROR(IF(J400="","",VLOOKUP(J400,Lists!$K$2:$O$61,3,FALSE)),"")</f>
        <v/>
      </c>
      <c r="N400" s="10"/>
      <c r="O400" s="10"/>
      <c r="P400" s="6"/>
      <c r="Q400" s="10"/>
      <c r="R400" s="6"/>
    </row>
    <row r="401" spans="1:18" x14ac:dyDescent="0.25">
      <c r="A401" s="8"/>
      <c r="B401" s="9" t="str">
        <f>IF(A401="","","W"&amp;(INT((A401-Lists!$B$2)/7)+1))</f>
        <v/>
      </c>
      <c r="C401" s="10"/>
      <c r="D401" s="10"/>
      <c r="E401" s="9" t="str">
        <f t="shared" si="6"/>
        <v/>
      </c>
      <c r="F401" s="11"/>
      <c r="G401" s="10"/>
      <c r="H401" s="10"/>
      <c r="I401" s="10"/>
      <c r="J401" s="10"/>
      <c r="K401" s="12" t="str">
        <f>IFERROR(IF(J401="","",VLOOKUP(J401,Lists!$K$2:$O$61,5,FALSE)),"")</f>
        <v/>
      </c>
      <c r="L401" s="9" t="str">
        <f>IFERROR(IF(J401="","",VLOOKUP(J401,Lists!$K$2:$O$61,2,FALSE)),"")</f>
        <v/>
      </c>
      <c r="M401" s="9" t="str">
        <f>IFERROR(IF(J401="","",VLOOKUP(J401,Lists!$K$2:$O$61,3,FALSE)),"")</f>
        <v/>
      </c>
      <c r="N401" s="10"/>
      <c r="O401" s="10"/>
      <c r="P401" s="6"/>
      <c r="Q401" s="10"/>
      <c r="R401" s="6"/>
    </row>
    <row r="402" spans="1:18" x14ac:dyDescent="0.25">
      <c r="A402" s="8"/>
      <c r="B402" s="9" t="str">
        <f>IF(A402="","","W"&amp;(INT((A402-Lists!$B$2)/7)+1))</f>
        <v/>
      </c>
      <c r="C402" s="10"/>
      <c r="D402" s="10"/>
      <c r="E402" s="9" t="str">
        <f t="shared" si="6"/>
        <v/>
      </c>
      <c r="F402" s="11"/>
      <c r="G402" s="10"/>
      <c r="H402" s="10"/>
      <c r="I402" s="10"/>
      <c r="J402" s="10"/>
      <c r="K402" s="12" t="str">
        <f>IFERROR(IF(J402="","",VLOOKUP(J402,Lists!$K$2:$O$61,5,FALSE)),"")</f>
        <v/>
      </c>
      <c r="L402" s="9" t="str">
        <f>IFERROR(IF(J402="","",VLOOKUP(J402,Lists!$K$2:$O$61,2,FALSE)),"")</f>
        <v/>
      </c>
      <c r="M402" s="9" t="str">
        <f>IFERROR(IF(J402="","",VLOOKUP(J402,Lists!$K$2:$O$61,3,FALSE)),"")</f>
        <v/>
      </c>
      <c r="N402" s="10"/>
      <c r="O402" s="10"/>
      <c r="P402" s="6"/>
      <c r="Q402" s="10"/>
      <c r="R402" s="6"/>
    </row>
    <row r="403" spans="1:18" x14ac:dyDescent="0.25">
      <c r="A403" s="8"/>
      <c r="B403" s="9" t="str">
        <f>IF(A403="","","W"&amp;(INT((A403-Lists!$B$2)/7)+1))</f>
        <v/>
      </c>
      <c r="C403" s="10"/>
      <c r="D403" s="10"/>
      <c r="E403" s="9" t="str">
        <f t="shared" si="6"/>
        <v/>
      </c>
      <c r="F403" s="11"/>
      <c r="G403" s="10"/>
      <c r="H403" s="10"/>
      <c r="I403" s="10"/>
      <c r="J403" s="10"/>
      <c r="K403" s="12" t="str">
        <f>IFERROR(IF(J403="","",VLOOKUP(J403,Lists!$K$2:$O$61,5,FALSE)),"")</f>
        <v/>
      </c>
      <c r="L403" s="9" t="str">
        <f>IFERROR(IF(J403="","",VLOOKUP(J403,Lists!$K$2:$O$61,2,FALSE)),"")</f>
        <v/>
      </c>
      <c r="M403" s="9" t="str">
        <f>IFERROR(IF(J403="","",VLOOKUP(J403,Lists!$K$2:$O$61,3,FALSE)),"")</f>
        <v/>
      </c>
      <c r="N403" s="10"/>
      <c r="O403" s="10"/>
      <c r="P403" s="6"/>
      <c r="Q403" s="10"/>
      <c r="R403" s="6"/>
    </row>
    <row r="404" spans="1:18" x14ac:dyDescent="0.25">
      <c r="A404" s="8"/>
      <c r="B404" s="9" t="str">
        <f>IF(A404="","","W"&amp;(INT((A404-Lists!$B$2)/7)+1))</f>
        <v/>
      </c>
      <c r="C404" s="10"/>
      <c r="D404" s="10"/>
      <c r="E404" s="9" t="str">
        <f t="shared" si="6"/>
        <v/>
      </c>
      <c r="F404" s="11"/>
      <c r="G404" s="10"/>
      <c r="H404" s="10"/>
      <c r="I404" s="10"/>
      <c r="J404" s="10"/>
      <c r="K404" s="12" t="str">
        <f>IFERROR(IF(J404="","",VLOOKUP(J404,Lists!$K$2:$O$61,5,FALSE)),"")</f>
        <v/>
      </c>
      <c r="L404" s="9" t="str">
        <f>IFERROR(IF(J404="","",VLOOKUP(J404,Lists!$K$2:$O$61,2,FALSE)),"")</f>
        <v/>
      </c>
      <c r="M404" s="9" t="str">
        <f>IFERROR(IF(J404="","",VLOOKUP(J404,Lists!$K$2:$O$61,3,FALSE)),"")</f>
        <v/>
      </c>
      <c r="N404" s="10"/>
      <c r="O404" s="10"/>
      <c r="P404" s="6"/>
      <c r="Q404" s="10"/>
      <c r="R404" s="6"/>
    </row>
    <row r="405" spans="1:18" x14ac:dyDescent="0.25">
      <c r="A405" s="8"/>
      <c r="B405" s="9" t="str">
        <f>IF(A405="","","W"&amp;(INT((A405-Lists!$B$2)/7)+1))</f>
        <v/>
      </c>
      <c r="C405" s="10"/>
      <c r="D405" s="10"/>
      <c r="E405" s="9" t="str">
        <f t="shared" si="6"/>
        <v/>
      </c>
      <c r="F405" s="11"/>
      <c r="G405" s="10"/>
      <c r="H405" s="10"/>
      <c r="I405" s="10"/>
      <c r="J405" s="10"/>
      <c r="K405" s="12" t="str">
        <f>IFERROR(IF(J405="","",VLOOKUP(J405,Lists!$K$2:$O$61,5,FALSE)),"")</f>
        <v/>
      </c>
      <c r="L405" s="9" t="str">
        <f>IFERROR(IF(J405="","",VLOOKUP(J405,Lists!$K$2:$O$61,2,FALSE)),"")</f>
        <v/>
      </c>
      <c r="M405" s="9" t="str">
        <f>IFERROR(IF(J405="","",VLOOKUP(J405,Lists!$K$2:$O$61,3,FALSE)),"")</f>
        <v/>
      </c>
      <c r="N405" s="10"/>
      <c r="O405" s="10"/>
      <c r="P405" s="6"/>
      <c r="Q405" s="10"/>
      <c r="R405" s="6"/>
    </row>
    <row r="406" spans="1:18" x14ac:dyDescent="0.25">
      <c r="A406" s="8"/>
      <c r="B406" s="9" t="str">
        <f>IF(A406="","","W"&amp;(INT((A406-Lists!$B$2)/7)+1))</f>
        <v/>
      </c>
      <c r="C406" s="10"/>
      <c r="D406" s="10"/>
      <c r="E406" s="9" t="str">
        <f t="shared" si="6"/>
        <v/>
      </c>
      <c r="F406" s="11"/>
      <c r="G406" s="10"/>
      <c r="H406" s="10"/>
      <c r="I406" s="10"/>
      <c r="J406" s="10"/>
      <c r="K406" s="12" t="str">
        <f>IFERROR(IF(J406="","",VLOOKUP(J406,Lists!$K$2:$O$61,5,FALSE)),"")</f>
        <v/>
      </c>
      <c r="L406" s="9" t="str">
        <f>IFERROR(IF(J406="","",VLOOKUP(J406,Lists!$K$2:$O$61,2,FALSE)),"")</f>
        <v/>
      </c>
      <c r="M406" s="9" t="str">
        <f>IFERROR(IF(J406="","",VLOOKUP(J406,Lists!$K$2:$O$61,3,FALSE)),"")</f>
        <v/>
      </c>
      <c r="N406" s="10"/>
      <c r="O406" s="10"/>
      <c r="P406" s="6"/>
      <c r="Q406" s="10"/>
      <c r="R406" s="6"/>
    </row>
    <row r="407" spans="1:18" x14ac:dyDescent="0.25">
      <c r="A407" s="8"/>
      <c r="B407" s="9" t="str">
        <f>IF(A407="","","W"&amp;(INT((A407-Lists!$B$2)/7)+1))</f>
        <v/>
      </c>
      <c r="C407" s="10"/>
      <c r="D407" s="10"/>
      <c r="E407" s="9" t="str">
        <f t="shared" si="6"/>
        <v/>
      </c>
      <c r="F407" s="11"/>
      <c r="G407" s="10"/>
      <c r="H407" s="10"/>
      <c r="I407" s="10"/>
      <c r="J407" s="10"/>
      <c r="K407" s="12" t="str">
        <f>IFERROR(IF(J407="","",VLOOKUP(J407,Lists!$K$2:$O$61,5,FALSE)),"")</f>
        <v/>
      </c>
      <c r="L407" s="9" t="str">
        <f>IFERROR(IF(J407="","",VLOOKUP(J407,Lists!$K$2:$O$61,2,FALSE)),"")</f>
        <v/>
      </c>
      <c r="M407" s="9" t="str">
        <f>IFERROR(IF(J407="","",VLOOKUP(J407,Lists!$K$2:$O$61,3,FALSE)),"")</f>
        <v/>
      </c>
      <c r="N407" s="10"/>
      <c r="O407" s="10"/>
      <c r="P407" s="6"/>
      <c r="Q407" s="10"/>
      <c r="R407" s="6"/>
    </row>
    <row r="408" spans="1:18" x14ac:dyDescent="0.25">
      <c r="A408" s="8"/>
      <c r="B408" s="9" t="str">
        <f>IF(A408="","","W"&amp;(INT((A408-Lists!$B$2)/7)+1))</f>
        <v/>
      </c>
      <c r="C408" s="10"/>
      <c r="D408" s="10"/>
      <c r="E408" s="9" t="str">
        <f t="shared" si="6"/>
        <v/>
      </c>
      <c r="F408" s="11"/>
      <c r="G408" s="10"/>
      <c r="H408" s="10"/>
      <c r="I408" s="10"/>
      <c r="J408" s="10"/>
      <c r="K408" s="12" t="str">
        <f>IFERROR(IF(J408="","",VLOOKUP(J408,Lists!$K$2:$O$61,5,FALSE)),"")</f>
        <v/>
      </c>
      <c r="L408" s="9" t="str">
        <f>IFERROR(IF(J408="","",VLOOKUP(J408,Lists!$K$2:$O$61,2,FALSE)),"")</f>
        <v/>
      </c>
      <c r="M408" s="9" t="str">
        <f>IFERROR(IF(J408="","",VLOOKUP(J408,Lists!$K$2:$O$61,3,FALSE)),"")</f>
        <v/>
      </c>
      <c r="N408" s="10"/>
      <c r="O408" s="10"/>
      <c r="P408" s="6"/>
      <c r="Q408" s="10"/>
      <c r="R408" s="6"/>
    </row>
    <row r="409" spans="1:18" x14ac:dyDescent="0.25">
      <c r="A409" s="8"/>
      <c r="B409" s="9" t="str">
        <f>IF(A409="","","W"&amp;(INT((A409-Lists!$B$2)/7)+1))</f>
        <v/>
      </c>
      <c r="C409" s="10"/>
      <c r="D409" s="10"/>
      <c r="E409" s="9" t="str">
        <f t="shared" si="6"/>
        <v/>
      </c>
      <c r="F409" s="11"/>
      <c r="G409" s="10"/>
      <c r="H409" s="10"/>
      <c r="I409" s="10"/>
      <c r="J409" s="10"/>
      <c r="K409" s="12" t="str">
        <f>IFERROR(IF(J409="","",VLOOKUP(J409,Lists!$K$2:$O$61,5,FALSE)),"")</f>
        <v/>
      </c>
      <c r="L409" s="9" t="str">
        <f>IFERROR(IF(J409="","",VLOOKUP(J409,Lists!$K$2:$O$61,2,FALSE)),"")</f>
        <v/>
      </c>
      <c r="M409" s="9" t="str">
        <f>IFERROR(IF(J409="","",VLOOKUP(J409,Lists!$K$2:$O$61,3,FALSE)),"")</f>
        <v/>
      </c>
      <c r="N409" s="10"/>
      <c r="O409" s="10"/>
      <c r="P409" s="6"/>
      <c r="Q409" s="10"/>
      <c r="R409" s="6"/>
    </row>
    <row r="410" spans="1:18" x14ac:dyDescent="0.25">
      <c r="A410" s="8"/>
      <c r="B410" s="9" t="str">
        <f>IF(A410="","","W"&amp;(INT((A410-Lists!$B$2)/7)+1))</f>
        <v/>
      </c>
      <c r="C410" s="10"/>
      <c r="D410" s="10"/>
      <c r="E410" s="9" t="str">
        <f t="shared" si="6"/>
        <v/>
      </c>
      <c r="F410" s="11"/>
      <c r="G410" s="10"/>
      <c r="H410" s="10"/>
      <c r="I410" s="10"/>
      <c r="J410" s="10"/>
      <c r="K410" s="12" t="str">
        <f>IFERROR(IF(J410="","",VLOOKUP(J410,Lists!$K$2:$O$61,5,FALSE)),"")</f>
        <v/>
      </c>
      <c r="L410" s="9" t="str">
        <f>IFERROR(IF(J410="","",VLOOKUP(J410,Lists!$K$2:$O$61,2,FALSE)),"")</f>
        <v/>
      </c>
      <c r="M410" s="9" t="str">
        <f>IFERROR(IF(J410="","",VLOOKUP(J410,Lists!$K$2:$O$61,3,FALSE)),"")</f>
        <v/>
      </c>
      <c r="N410" s="10"/>
      <c r="O410" s="10"/>
      <c r="P410" s="6"/>
      <c r="Q410" s="10"/>
      <c r="R410" s="6"/>
    </row>
    <row r="411" spans="1:18" x14ac:dyDescent="0.25">
      <c r="A411" s="8"/>
      <c r="B411" s="9" t="str">
        <f>IF(A411="","","W"&amp;(INT((A411-Lists!$B$2)/7)+1))</f>
        <v/>
      </c>
      <c r="C411" s="10"/>
      <c r="D411" s="10"/>
      <c r="E411" s="9" t="str">
        <f t="shared" si="6"/>
        <v/>
      </c>
      <c r="F411" s="11"/>
      <c r="G411" s="10"/>
      <c r="H411" s="10"/>
      <c r="I411" s="10"/>
      <c r="J411" s="10"/>
      <c r="K411" s="12" t="str">
        <f>IFERROR(IF(J411="","",VLOOKUP(J411,Lists!$K$2:$O$61,5,FALSE)),"")</f>
        <v/>
      </c>
      <c r="L411" s="9" t="str">
        <f>IFERROR(IF(J411="","",VLOOKUP(J411,Lists!$K$2:$O$61,2,FALSE)),"")</f>
        <v/>
      </c>
      <c r="M411" s="9" t="str">
        <f>IFERROR(IF(J411="","",VLOOKUP(J411,Lists!$K$2:$O$61,3,FALSE)),"")</f>
        <v/>
      </c>
      <c r="N411" s="10"/>
      <c r="O411" s="10"/>
      <c r="P411" s="6"/>
      <c r="Q411" s="10"/>
      <c r="R411" s="6"/>
    </row>
    <row r="412" spans="1:18" x14ac:dyDescent="0.25">
      <c r="A412" s="8"/>
      <c r="B412" s="9" t="str">
        <f>IF(A412="","","W"&amp;(INT((A412-Lists!$B$2)/7)+1))</f>
        <v/>
      </c>
      <c r="C412" s="10"/>
      <c r="D412" s="10"/>
      <c r="E412" s="9" t="str">
        <f t="shared" si="6"/>
        <v/>
      </c>
      <c r="F412" s="11"/>
      <c r="G412" s="10"/>
      <c r="H412" s="10"/>
      <c r="I412" s="10"/>
      <c r="J412" s="10"/>
      <c r="K412" s="12" t="str">
        <f>IFERROR(IF(J412="","",VLOOKUP(J412,Lists!$K$2:$O$61,5,FALSE)),"")</f>
        <v/>
      </c>
      <c r="L412" s="9" t="str">
        <f>IFERROR(IF(J412="","",VLOOKUP(J412,Lists!$K$2:$O$61,2,FALSE)),"")</f>
        <v/>
      </c>
      <c r="M412" s="9" t="str">
        <f>IFERROR(IF(J412="","",VLOOKUP(J412,Lists!$K$2:$O$61,3,FALSE)),"")</f>
        <v/>
      </c>
      <c r="N412" s="10"/>
      <c r="O412" s="10"/>
      <c r="P412" s="6"/>
      <c r="Q412" s="10"/>
      <c r="R412" s="6"/>
    </row>
    <row r="413" spans="1:18" x14ac:dyDescent="0.25">
      <c r="A413" s="8"/>
      <c r="B413" s="9" t="str">
        <f>IF(A413="","","W"&amp;(INT((A413-Lists!$B$2)/7)+1))</f>
        <v/>
      </c>
      <c r="C413" s="10"/>
      <c r="D413" s="10"/>
      <c r="E413" s="9" t="str">
        <f t="shared" si="6"/>
        <v/>
      </c>
      <c r="F413" s="11"/>
      <c r="G413" s="10"/>
      <c r="H413" s="10"/>
      <c r="I413" s="10"/>
      <c r="J413" s="10"/>
      <c r="K413" s="12" t="str">
        <f>IFERROR(IF(J413="","",VLOOKUP(J413,Lists!$K$2:$O$61,5,FALSE)),"")</f>
        <v/>
      </c>
      <c r="L413" s="9" t="str">
        <f>IFERROR(IF(J413="","",VLOOKUP(J413,Lists!$K$2:$O$61,2,FALSE)),"")</f>
        <v/>
      </c>
      <c r="M413" s="9" t="str">
        <f>IFERROR(IF(J413="","",VLOOKUP(J413,Lists!$K$2:$O$61,3,FALSE)),"")</f>
        <v/>
      </c>
      <c r="N413" s="10"/>
      <c r="O413" s="10"/>
      <c r="P413" s="6"/>
      <c r="Q413" s="10"/>
      <c r="R413" s="6"/>
    </row>
    <row r="414" spans="1:18" x14ac:dyDescent="0.25">
      <c r="A414" s="8"/>
      <c r="B414" s="9" t="str">
        <f>IF(A414="","","W"&amp;(INT((A414-Lists!$B$2)/7)+1))</f>
        <v/>
      </c>
      <c r="C414" s="10"/>
      <c r="D414" s="10"/>
      <c r="E414" s="9" t="str">
        <f t="shared" si="6"/>
        <v/>
      </c>
      <c r="F414" s="11"/>
      <c r="G414" s="10"/>
      <c r="H414" s="10"/>
      <c r="I414" s="10"/>
      <c r="J414" s="10"/>
      <c r="K414" s="12" t="str">
        <f>IFERROR(IF(J414="","",VLOOKUP(J414,Lists!$K$2:$O$61,5,FALSE)),"")</f>
        <v/>
      </c>
      <c r="L414" s="9" t="str">
        <f>IFERROR(IF(J414="","",VLOOKUP(J414,Lists!$K$2:$O$61,2,FALSE)),"")</f>
        <v/>
      </c>
      <c r="M414" s="9" t="str">
        <f>IFERROR(IF(J414="","",VLOOKUP(J414,Lists!$K$2:$O$61,3,FALSE)),"")</f>
        <v/>
      </c>
      <c r="N414" s="10"/>
      <c r="O414" s="10"/>
      <c r="P414" s="6"/>
      <c r="Q414" s="10"/>
      <c r="R414" s="6"/>
    </row>
    <row r="415" spans="1:18" x14ac:dyDescent="0.25">
      <c r="A415" s="8"/>
      <c r="B415" s="9" t="str">
        <f>IF(A415="","","W"&amp;(INT((A415-Lists!$B$2)/7)+1))</f>
        <v/>
      </c>
      <c r="C415" s="10"/>
      <c r="D415" s="10"/>
      <c r="E415" s="9" t="str">
        <f t="shared" si="6"/>
        <v/>
      </c>
      <c r="F415" s="11"/>
      <c r="G415" s="10"/>
      <c r="H415" s="10"/>
      <c r="I415" s="10"/>
      <c r="J415" s="10"/>
      <c r="K415" s="12" t="str">
        <f>IFERROR(IF(J415="","",VLOOKUP(J415,Lists!$K$2:$O$61,5,FALSE)),"")</f>
        <v/>
      </c>
      <c r="L415" s="9" t="str">
        <f>IFERROR(IF(J415="","",VLOOKUP(J415,Lists!$K$2:$O$61,2,FALSE)),"")</f>
        <v/>
      </c>
      <c r="M415" s="9" t="str">
        <f>IFERROR(IF(J415="","",VLOOKUP(J415,Lists!$K$2:$O$61,3,FALSE)),"")</f>
        <v/>
      </c>
      <c r="N415" s="10"/>
      <c r="O415" s="10"/>
      <c r="P415" s="6"/>
      <c r="Q415" s="10"/>
      <c r="R415" s="6"/>
    </row>
    <row r="416" spans="1:18" x14ac:dyDescent="0.25">
      <c r="A416" s="8"/>
      <c r="B416" s="9" t="str">
        <f>IF(A416="","","W"&amp;(INT((A416-Lists!$B$2)/7)+1))</f>
        <v/>
      </c>
      <c r="C416" s="10"/>
      <c r="D416" s="10"/>
      <c r="E416" s="9" t="str">
        <f t="shared" si="6"/>
        <v/>
      </c>
      <c r="F416" s="11"/>
      <c r="G416" s="10"/>
      <c r="H416" s="10"/>
      <c r="I416" s="10"/>
      <c r="J416" s="10"/>
      <c r="K416" s="12" t="str">
        <f>IFERROR(IF(J416="","",VLOOKUP(J416,Lists!$K$2:$O$61,5,FALSE)),"")</f>
        <v/>
      </c>
      <c r="L416" s="9" t="str">
        <f>IFERROR(IF(J416="","",VLOOKUP(J416,Lists!$K$2:$O$61,2,FALSE)),"")</f>
        <v/>
      </c>
      <c r="M416" s="9" t="str">
        <f>IFERROR(IF(J416="","",VLOOKUP(J416,Lists!$K$2:$O$61,3,FALSE)),"")</f>
        <v/>
      </c>
      <c r="N416" s="10"/>
      <c r="O416" s="10"/>
      <c r="P416" s="6"/>
      <c r="Q416" s="10"/>
      <c r="R416" s="6"/>
    </row>
    <row r="417" spans="1:18" x14ac:dyDescent="0.25">
      <c r="A417" s="8"/>
      <c r="B417" s="9" t="str">
        <f>IF(A417="","","W"&amp;(INT((A417-Lists!$B$2)/7)+1))</f>
        <v/>
      </c>
      <c r="C417" s="10"/>
      <c r="D417" s="10"/>
      <c r="E417" s="9" t="str">
        <f t="shared" si="6"/>
        <v/>
      </c>
      <c r="F417" s="11"/>
      <c r="G417" s="10"/>
      <c r="H417" s="10"/>
      <c r="I417" s="10"/>
      <c r="J417" s="10"/>
      <c r="K417" s="12" t="str">
        <f>IFERROR(IF(J417="","",VLOOKUP(J417,Lists!$K$2:$O$61,5,FALSE)),"")</f>
        <v/>
      </c>
      <c r="L417" s="9" t="str">
        <f>IFERROR(IF(J417="","",VLOOKUP(J417,Lists!$K$2:$O$61,2,FALSE)),"")</f>
        <v/>
      </c>
      <c r="M417" s="9" t="str">
        <f>IFERROR(IF(J417="","",VLOOKUP(J417,Lists!$K$2:$O$61,3,FALSE)),"")</f>
        <v/>
      </c>
      <c r="N417" s="10"/>
      <c r="O417" s="10"/>
      <c r="P417" s="6"/>
      <c r="Q417" s="10"/>
      <c r="R417" s="6"/>
    </row>
    <row r="418" spans="1:18" x14ac:dyDescent="0.25">
      <c r="A418" s="8"/>
      <c r="B418" s="9" t="str">
        <f>IF(A418="","","W"&amp;(INT((A418-Lists!$B$2)/7)+1))</f>
        <v/>
      </c>
      <c r="C418" s="10"/>
      <c r="D418" s="10"/>
      <c r="E418" s="9" t="str">
        <f t="shared" si="6"/>
        <v/>
      </c>
      <c r="F418" s="11"/>
      <c r="G418" s="10"/>
      <c r="H418" s="10"/>
      <c r="I418" s="10"/>
      <c r="J418" s="10"/>
      <c r="K418" s="12" t="str">
        <f>IFERROR(IF(J418="","",VLOOKUP(J418,Lists!$K$2:$O$61,5,FALSE)),"")</f>
        <v/>
      </c>
      <c r="L418" s="9" t="str">
        <f>IFERROR(IF(J418="","",VLOOKUP(J418,Lists!$K$2:$O$61,2,FALSE)),"")</f>
        <v/>
      </c>
      <c r="M418" s="9" t="str">
        <f>IFERROR(IF(J418="","",VLOOKUP(J418,Lists!$K$2:$O$61,3,FALSE)),"")</f>
        <v/>
      </c>
      <c r="N418" s="10"/>
      <c r="O418" s="10"/>
      <c r="P418" s="6"/>
      <c r="Q418" s="10"/>
      <c r="R418" s="6"/>
    </row>
    <row r="419" spans="1:18" x14ac:dyDescent="0.25">
      <c r="A419" s="8"/>
      <c r="B419" s="9" t="str">
        <f>IF(A419="","","W"&amp;(INT((A419-Lists!$B$2)/7)+1))</f>
        <v/>
      </c>
      <c r="C419" s="10"/>
      <c r="D419" s="10"/>
      <c r="E419" s="9" t="str">
        <f t="shared" si="6"/>
        <v/>
      </c>
      <c r="F419" s="11"/>
      <c r="G419" s="10"/>
      <c r="H419" s="10"/>
      <c r="I419" s="10"/>
      <c r="J419" s="10"/>
      <c r="K419" s="12" t="str">
        <f>IFERROR(IF(J419="","",VLOOKUP(J419,Lists!$K$2:$O$61,5,FALSE)),"")</f>
        <v/>
      </c>
      <c r="L419" s="9" t="str">
        <f>IFERROR(IF(J419="","",VLOOKUP(J419,Lists!$K$2:$O$61,2,FALSE)),"")</f>
        <v/>
      </c>
      <c r="M419" s="9" t="str">
        <f>IFERROR(IF(J419="","",VLOOKUP(J419,Lists!$K$2:$O$61,3,FALSE)),"")</f>
        <v/>
      </c>
      <c r="N419" s="10"/>
      <c r="O419" s="10"/>
      <c r="P419" s="6"/>
      <c r="Q419" s="10"/>
      <c r="R419" s="6"/>
    </row>
    <row r="420" spans="1:18" x14ac:dyDescent="0.25">
      <c r="A420" s="8"/>
      <c r="B420" s="9" t="str">
        <f>IF(A420="","","W"&amp;(INT((A420-Lists!$B$2)/7)+1))</f>
        <v/>
      </c>
      <c r="C420" s="10"/>
      <c r="D420" s="10"/>
      <c r="E420" s="9" t="str">
        <f t="shared" si="6"/>
        <v/>
      </c>
      <c r="F420" s="11"/>
      <c r="G420" s="10"/>
      <c r="H420" s="10"/>
      <c r="I420" s="10"/>
      <c r="J420" s="10"/>
      <c r="K420" s="12" t="str">
        <f>IFERROR(IF(J420="","",VLOOKUP(J420,Lists!$K$2:$O$61,5,FALSE)),"")</f>
        <v/>
      </c>
      <c r="L420" s="9" t="str">
        <f>IFERROR(IF(J420="","",VLOOKUP(J420,Lists!$K$2:$O$61,2,FALSE)),"")</f>
        <v/>
      </c>
      <c r="M420" s="9" t="str">
        <f>IFERROR(IF(J420="","",VLOOKUP(J420,Lists!$K$2:$O$61,3,FALSE)),"")</f>
        <v/>
      </c>
      <c r="N420" s="10"/>
      <c r="O420" s="10"/>
      <c r="P420" s="6"/>
      <c r="Q420" s="10"/>
      <c r="R420" s="6"/>
    </row>
    <row r="421" spans="1:18" x14ac:dyDescent="0.25">
      <c r="A421" s="8"/>
      <c r="B421" s="9" t="str">
        <f>IF(A421="","","W"&amp;(INT((A421-Lists!$B$2)/7)+1))</f>
        <v/>
      </c>
      <c r="C421" s="10"/>
      <c r="D421" s="10"/>
      <c r="E421" s="9" t="str">
        <f t="shared" si="6"/>
        <v/>
      </c>
      <c r="F421" s="11"/>
      <c r="G421" s="10"/>
      <c r="H421" s="10"/>
      <c r="I421" s="10"/>
      <c r="J421" s="10"/>
      <c r="K421" s="12" t="str">
        <f>IFERROR(IF(J421="","",VLOOKUP(J421,Lists!$K$2:$O$61,5,FALSE)),"")</f>
        <v/>
      </c>
      <c r="L421" s="9" t="str">
        <f>IFERROR(IF(J421="","",VLOOKUP(J421,Lists!$K$2:$O$61,2,FALSE)),"")</f>
        <v/>
      </c>
      <c r="M421" s="9" t="str">
        <f>IFERROR(IF(J421="","",VLOOKUP(J421,Lists!$K$2:$O$61,3,FALSE)),"")</f>
        <v/>
      </c>
      <c r="N421" s="10"/>
      <c r="O421" s="10"/>
      <c r="P421" s="6"/>
      <c r="Q421" s="10"/>
      <c r="R421" s="6"/>
    </row>
    <row r="422" spans="1:18" x14ac:dyDescent="0.25">
      <c r="A422" s="8"/>
      <c r="B422" s="9" t="str">
        <f>IF(A422="","","W"&amp;(INT((A422-Lists!$B$2)/7)+1))</f>
        <v/>
      </c>
      <c r="C422" s="10"/>
      <c r="D422" s="10"/>
      <c r="E422" s="9" t="str">
        <f t="shared" si="6"/>
        <v/>
      </c>
      <c r="F422" s="11"/>
      <c r="G422" s="10"/>
      <c r="H422" s="10"/>
      <c r="I422" s="10"/>
      <c r="J422" s="10"/>
      <c r="K422" s="12" t="str">
        <f>IFERROR(IF(J422="","",VLOOKUP(J422,Lists!$K$2:$O$61,5,FALSE)),"")</f>
        <v/>
      </c>
      <c r="L422" s="9" t="str">
        <f>IFERROR(IF(J422="","",VLOOKUP(J422,Lists!$K$2:$O$61,2,FALSE)),"")</f>
        <v/>
      </c>
      <c r="M422" s="9" t="str">
        <f>IFERROR(IF(J422="","",VLOOKUP(J422,Lists!$K$2:$O$61,3,FALSE)),"")</f>
        <v/>
      </c>
      <c r="N422" s="10"/>
      <c r="O422" s="10"/>
      <c r="P422" s="6"/>
      <c r="Q422" s="10"/>
      <c r="R422" s="6"/>
    </row>
    <row r="423" spans="1:18" x14ac:dyDescent="0.25">
      <c r="A423" s="8"/>
      <c r="B423" s="9" t="str">
        <f>IF(A423="","","W"&amp;(INT((A423-Lists!$B$2)/7)+1))</f>
        <v/>
      </c>
      <c r="C423" s="10"/>
      <c r="D423" s="10"/>
      <c r="E423" s="9" t="str">
        <f t="shared" si="6"/>
        <v/>
      </c>
      <c r="F423" s="11"/>
      <c r="G423" s="10"/>
      <c r="H423" s="10"/>
      <c r="I423" s="10"/>
      <c r="J423" s="10"/>
      <c r="K423" s="12" t="str">
        <f>IFERROR(IF(J423="","",VLOOKUP(J423,Lists!$K$2:$O$61,5,FALSE)),"")</f>
        <v/>
      </c>
      <c r="L423" s="9" t="str">
        <f>IFERROR(IF(J423="","",VLOOKUP(J423,Lists!$K$2:$O$61,2,FALSE)),"")</f>
        <v/>
      </c>
      <c r="M423" s="9" t="str">
        <f>IFERROR(IF(J423="","",VLOOKUP(J423,Lists!$K$2:$O$61,3,FALSE)),"")</f>
        <v/>
      </c>
      <c r="N423" s="10"/>
      <c r="O423" s="10"/>
      <c r="P423" s="6"/>
      <c r="Q423" s="10"/>
      <c r="R423" s="6"/>
    </row>
    <row r="424" spans="1:18" x14ac:dyDescent="0.25">
      <c r="A424" s="8"/>
      <c r="B424" s="9" t="str">
        <f>IF(A424="","","W"&amp;(INT((A424-Lists!$B$2)/7)+1))</f>
        <v/>
      </c>
      <c r="C424" s="10"/>
      <c r="D424" s="10"/>
      <c r="E424" s="9" t="str">
        <f t="shared" si="6"/>
        <v/>
      </c>
      <c r="F424" s="11"/>
      <c r="G424" s="10"/>
      <c r="H424" s="10"/>
      <c r="I424" s="10"/>
      <c r="J424" s="10"/>
      <c r="K424" s="12" t="str">
        <f>IFERROR(IF(J424="","",VLOOKUP(J424,Lists!$K$2:$O$61,5,FALSE)),"")</f>
        <v/>
      </c>
      <c r="L424" s="9" t="str">
        <f>IFERROR(IF(J424="","",VLOOKUP(J424,Lists!$K$2:$O$61,2,FALSE)),"")</f>
        <v/>
      </c>
      <c r="M424" s="9" t="str">
        <f>IFERROR(IF(J424="","",VLOOKUP(J424,Lists!$K$2:$O$61,3,FALSE)),"")</f>
        <v/>
      </c>
      <c r="N424" s="10"/>
      <c r="O424" s="10"/>
      <c r="P424" s="6"/>
      <c r="Q424" s="10"/>
      <c r="R424" s="6"/>
    </row>
    <row r="425" spans="1:18" x14ac:dyDescent="0.25">
      <c r="A425" s="8"/>
      <c r="B425" s="9" t="str">
        <f>IF(A425="","","W"&amp;(INT((A425-Lists!$B$2)/7)+1))</f>
        <v/>
      </c>
      <c r="C425" s="10"/>
      <c r="D425" s="10"/>
      <c r="E425" s="9" t="str">
        <f t="shared" si="6"/>
        <v/>
      </c>
      <c r="F425" s="11"/>
      <c r="G425" s="10"/>
      <c r="H425" s="10"/>
      <c r="I425" s="10"/>
      <c r="J425" s="10"/>
      <c r="K425" s="12" t="str">
        <f>IFERROR(IF(J425="","",VLOOKUP(J425,Lists!$K$2:$O$61,5,FALSE)),"")</f>
        <v/>
      </c>
      <c r="L425" s="9" t="str">
        <f>IFERROR(IF(J425="","",VLOOKUP(J425,Lists!$K$2:$O$61,2,FALSE)),"")</f>
        <v/>
      </c>
      <c r="M425" s="9" t="str">
        <f>IFERROR(IF(J425="","",VLOOKUP(J425,Lists!$K$2:$O$61,3,FALSE)),"")</f>
        <v/>
      </c>
      <c r="N425" s="10"/>
      <c r="O425" s="10"/>
      <c r="P425" s="6"/>
      <c r="Q425" s="10"/>
      <c r="R425" s="6"/>
    </row>
    <row r="426" spans="1:18" x14ac:dyDescent="0.25">
      <c r="A426" s="8"/>
      <c r="B426" s="9" t="str">
        <f>IF(A426="","","W"&amp;(INT((A426-Lists!$B$2)/7)+1))</f>
        <v/>
      </c>
      <c r="C426" s="10"/>
      <c r="D426" s="10"/>
      <c r="E426" s="9" t="str">
        <f t="shared" si="6"/>
        <v/>
      </c>
      <c r="F426" s="11"/>
      <c r="G426" s="10"/>
      <c r="H426" s="10"/>
      <c r="I426" s="10"/>
      <c r="J426" s="10"/>
      <c r="K426" s="12" t="str">
        <f>IFERROR(IF(J426="","",VLOOKUP(J426,Lists!$K$2:$O$61,5,FALSE)),"")</f>
        <v/>
      </c>
      <c r="L426" s="9" t="str">
        <f>IFERROR(IF(J426="","",VLOOKUP(J426,Lists!$K$2:$O$61,2,FALSE)),"")</f>
        <v/>
      </c>
      <c r="M426" s="9" t="str">
        <f>IFERROR(IF(J426="","",VLOOKUP(J426,Lists!$K$2:$O$61,3,FALSE)),"")</f>
        <v/>
      </c>
      <c r="N426" s="10"/>
      <c r="O426" s="10"/>
      <c r="P426" s="6"/>
      <c r="Q426" s="10"/>
      <c r="R426" s="6"/>
    </row>
    <row r="427" spans="1:18" x14ac:dyDescent="0.25">
      <c r="A427" s="8"/>
      <c r="B427" s="9" t="str">
        <f>IF(A427="","","W"&amp;(INT((A427-Lists!$B$2)/7)+1))</f>
        <v/>
      </c>
      <c r="C427" s="10"/>
      <c r="D427" s="10"/>
      <c r="E427" s="9" t="str">
        <f t="shared" si="6"/>
        <v/>
      </c>
      <c r="F427" s="11"/>
      <c r="G427" s="10"/>
      <c r="H427" s="10"/>
      <c r="I427" s="10"/>
      <c r="J427" s="10"/>
      <c r="K427" s="12" t="str">
        <f>IFERROR(IF(J427="","",VLOOKUP(J427,Lists!$K$2:$O$61,5,FALSE)),"")</f>
        <v/>
      </c>
      <c r="L427" s="9" t="str">
        <f>IFERROR(IF(J427="","",VLOOKUP(J427,Lists!$K$2:$O$61,2,FALSE)),"")</f>
        <v/>
      </c>
      <c r="M427" s="9" t="str">
        <f>IFERROR(IF(J427="","",VLOOKUP(J427,Lists!$K$2:$O$61,3,FALSE)),"")</f>
        <v/>
      </c>
      <c r="N427" s="10"/>
      <c r="O427" s="10"/>
      <c r="P427" s="6"/>
      <c r="Q427" s="10"/>
      <c r="R427" s="6"/>
    </row>
    <row r="428" spans="1:18" x14ac:dyDescent="0.25">
      <c r="A428" s="8"/>
      <c r="B428" s="9" t="str">
        <f>IF(A428="","","W"&amp;(INT((A428-Lists!$B$2)/7)+1))</f>
        <v/>
      </c>
      <c r="C428" s="10"/>
      <c r="D428" s="10"/>
      <c r="E428" s="9" t="str">
        <f t="shared" si="6"/>
        <v/>
      </c>
      <c r="F428" s="11"/>
      <c r="G428" s="10"/>
      <c r="H428" s="10"/>
      <c r="I428" s="10"/>
      <c r="J428" s="10"/>
      <c r="K428" s="12" t="str">
        <f>IFERROR(IF(J428="","",VLOOKUP(J428,Lists!$K$2:$O$61,5,FALSE)),"")</f>
        <v/>
      </c>
      <c r="L428" s="9" t="str">
        <f>IFERROR(IF(J428="","",VLOOKUP(J428,Lists!$K$2:$O$61,2,FALSE)),"")</f>
        <v/>
      </c>
      <c r="M428" s="9" t="str">
        <f>IFERROR(IF(J428="","",VLOOKUP(J428,Lists!$K$2:$O$61,3,FALSE)),"")</f>
        <v/>
      </c>
      <c r="N428" s="10"/>
      <c r="O428" s="10"/>
      <c r="P428" s="6"/>
      <c r="Q428" s="10"/>
      <c r="R428" s="6"/>
    </row>
    <row r="429" spans="1:18" x14ac:dyDescent="0.25">
      <c r="A429" s="8"/>
      <c r="B429" s="9" t="str">
        <f>IF(A429="","","W"&amp;(INT((A429-Lists!$B$2)/7)+1))</f>
        <v/>
      </c>
      <c r="C429" s="10"/>
      <c r="D429" s="10"/>
      <c r="E429" s="9" t="str">
        <f t="shared" si="6"/>
        <v/>
      </c>
      <c r="F429" s="11"/>
      <c r="G429" s="10"/>
      <c r="H429" s="10"/>
      <c r="I429" s="10"/>
      <c r="J429" s="10"/>
      <c r="K429" s="12" t="str">
        <f>IFERROR(IF(J429="","",VLOOKUP(J429,Lists!$K$2:$O$61,5,FALSE)),"")</f>
        <v/>
      </c>
      <c r="L429" s="9" t="str">
        <f>IFERROR(IF(J429="","",VLOOKUP(J429,Lists!$K$2:$O$61,2,FALSE)),"")</f>
        <v/>
      </c>
      <c r="M429" s="9" t="str">
        <f>IFERROR(IF(J429="","",VLOOKUP(J429,Lists!$K$2:$O$61,3,FALSE)),"")</f>
        <v/>
      </c>
      <c r="N429" s="10"/>
      <c r="O429" s="10"/>
      <c r="P429" s="6"/>
      <c r="Q429" s="10"/>
      <c r="R429" s="6"/>
    </row>
    <row r="430" spans="1:18" x14ac:dyDescent="0.25">
      <c r="A430" s="8"/>
      <c r="B430" s="9" t="str">
        <f>IF(A430="","","W"&amp;(INT((A430-Lists!$B$2)/7)+1))</f>
        <v/>
      </c>
      <c r="C430" s="10"/>
      <c r="D430" s="10"/>
      <c r="E430" s="9" t="str">
        <f t="shared" si="6"/>
        <v/>
      </c>
      <c r="F430" s="11"/>
      <c r="G430" s="10"/>
      <c r="H430" s="10"/>
      <c r="I430" s="10"/>
      <c r="J430" s="10"/>
      <c r="K430" s="12" t="str">
        <f>IFERROR(IF(J430="","",VLOOKUP(J430,Lists!$K$2:$O$61,5,FALSE)),"")</f>
        <v/>
      </c>
      <c r="L430" s="9" t="str">
        <f>IFERROR(IF(J430="","",VLOOKUP(J430,Lists!$K$2:$O$61,2,FALSE)),"")</f>
        <v/>
      </c>
      <c r="M430" s="9" t="str">
        <f>IFERROR(IF(J430="","",VLOOKUP(J430,Lists!$K$2:$O$61,3,FALSE)),"")</f>
        <v/>
      </c>
      <c r="N430" s="10"/>
      <c r="O430" s="10"/>
      <c r="P430" s="6"/>
      <c r="Q430" s="10"/>
      <c r="R430" s="6"/>
    </row>
    <row r="431" spans="1:18" x14ac:dyDescent="0.25">
      <c r="A431" s="8"/>
      <c r="B431" s="9" t="str">
        <f>IF(A431="","","W"&amp;(INT((A431-Lists!$B$2)/7)+1))</f>
        <v/>
      </c>
      <c r="C431" s="10"/>
      <c r="D431" s="10"/>
      <c r="E431" s="9" t="str">
        <f t="shared" si="6"/>
        <v/>
      </c>
      <c r="F431" s="11"/>
      <c r="G431" s="10"/>
      <c r="H431" s="10"/>
      <c r="I431" s="10"/>
      <c r="J431" s="10"/>
      <c r="K431" s="12" t="str">
        <f>IFERROR(IF(J431="","",VLOOKUP(J431,Lists!$K$2:$O$61,5,FALSE)),"")</f>
        <v/>
      </c>
      <c r="L431" s="9" t="str">
        <f>IFERROR(IF(J431="","",VLOOKUP(J431,Lists!$K$2:$O$61,2,FALSE)),"")</f>
        <v/>
      </c>
      <c r="M431" s="9" t="str">
        <f>IFERROR(IF(J431="","",VLOOKUP(J431,Lists!$K$2:$O$61,3,FALSE)),"")</f>
        <v/>
      </c>
      <c r="N431" s="10"/>
      <c r="O431" s="10"/>
      <c r="P431" s="6"/>
      <c r="Q431" s="10"/>
      <c r="R431" s="6"/>
    </row>
    <row r="432" spans="1:18" x14ac:dyDescent="0.25">
      <c r="A432" s="8"/>
      <c r="B432" s="9" t="str">
        <f>IF(A432="","","W"&amp;(INT((A432-Lists!$B$2)/7)+1))</f>
        <v/>
      </c>
      <c r="C432" s="10"/>
      <c r="D432" s="10"/>
      <c r="E432" s="9" t="str">
        <f t="shared" si="6"/>
        <v/>
      </c>
      <c r="F432" s="11"/>
      <c r="G432" s="10"/>
      <c r="H432" s="10"/>
      <c r="I432" s="10"/>
      <c r="J432" s="10"/>
      <c r="K432" s="12" t="str">
        <f>IFERROR(IF(J432="","",VLOOKUP(J432,Lists!$K$2:$O$61,5,FALSE)),"")</f>
        <v/>
      </c>
      <c r="L432" s="9" t="str">
        <f>IFERROR(IF(J432="","",VLOOKUP(J432,Lists!$K$2:$O$61,2,FALSE)),"")</f>
        <v/>
      </c>
      <c r="M432" s="9" t="str">
        <f>IFERROR(IF(J432="","",VLOOKUP(J432,Lists!$K$2:$O$61,3,FALSE)),"")</f>
        <v/>
      </c>
      <c r="N432" s="10"/>
      <c r="O432" s="10"/>
      <c r="P432" s="6"/>
      <c r="Q432" s="10"/>
      <c r="R432" s="6"/>
    </row>
    <row r="433" spans="1:18" x14ac:dyDescent="0.25">
      <c r="A433" s="8"/>
      <c r="B433" s="9" t="str">
        <f>IF(A433="","","W"&amp;(INT((A433-Lists!$B$2)/7)+1))</f>
        <v/>
      </c>
      <c r="C433" s="10"/>
      <c r="D433" s="10"/>
      <c r="E433" s="9" t="str">
        <f t="shared" si="6"/>
        <v/>
      </c>
      <c r="F433" s="11"/>
      <c r="G433" s="10"/>
      <c r="H433" s="10"/>
      <c r="I433" s="10"/>
      <c r="J433" s="10"/>
      <c r="K433" s="12" t="str">
        <f>IFERROR(IF(J433="","",VLOOKUP(J433,Lists!$K$2:$O$61,5,FALSE)),"")</f>
        <v/>
      </c>
      <c r="L433" s="9" t="str">
        <f>IFERROR(IF(J433="","",VLOOKUP(J433,Lists!$K$2:$O$61,2,FALSE)),"")</f>
        <v/>
      </c>
      <c r="M433" s="9" t="str">
        <f>IFERROR(IF(J433="","",VLOOKUP(J433,Lists!$K$2:$O$61,3,FALSE)),"")</f>
        <v/>
      </c>
      <c r="N433" s="10"/>
      <c r="O433" s="10"/>
      <c r="P433" s="6"/>
      <c r="Q433" s="10"/>
      <c r="R433" s="6"/>
    </row>
    <row r="434" spans="1:18" x14ac:dyDescent="0.25">
      <c r="A434" s="8"/>
      <c r="B434" s="9" t="str">
        <f>IF(A434="","","W"&amp;(INT((A434-Lists!$B$2)/7)+1))</f>
        <v/>
      </c>
      <c r="C434" s="10"/>
      <c r="D434" s="10"/>
      <c r="E434" s="9" t="str">
        <f t="shared" si="6"/>
        <v/>
      </c>
      <c r="F434" s="11"/>
      <c r="G434" s="10"/>
      <c r="H434" s="10"/>
      <c r="I434" s="10"/>
      <c r="J434" s="10"/>
      <c r="K434" s="12" t="str">
        <f>IFERROR(IF(J434="","",VLOOKUP(J434,Lists!$K$2:$O$61,5,FALSE)),"")</f>
        <v/>
      </c>
      <c r="L434" s="9" t="str">
        <f>IFERROR(IF(J434="","",VLOOKUP(J434,Lists!$K$2:$O$61,2,FALSE)),"")</f>
        <v/>
      </c>
      <c r="M434" s="9" t="str">
        <f>IFERROR(IF(J434="","",VLOOKUP(J434,Lists!$K$2:$O$61,3,FALSE)),"")</f>
        <v/>
      </c>
      <c r="N434" s="10"/>
      <c r="O434" s="10"/>
      <c r="P434" s="6"/>
      <c r="Q434" s="10"/>
      <c r="R434" s="6"/>
    </row>
    <row r="435" spans="1:18" x14ac:dyDescent="0.25">
      <c r="A435" s="8"/>
      <c r="B435" s="9" t="str">
        <f>IF(A435="","","W"&amp;(INT((A435-Lists!$B$2)/7)+1))</f>
        <v/>
      </c>
      <c r="C435" s="10"/>
      <c r="D435" s="10"/>
      <c r="E435" s="9" t="str">
        <f t="shared" si="6"/>
        <v/>
      </c>
      <c r="F435" s="11"/>
      <c r="G435" s="10"/>
      <c r="H435" s="10"/>
      <c r="I435" s="10"/>
      <c r="J435" s="10"/>
      <c r="K435" s="12" t="str">
        <f>IFERROR(IF(J435="","",VLOOKUP(J435,Lists!$K$2:$O$61,5,FALSE)),"")</f>
        <v/>
      </c>
      <c r="L435" s="9" t="str">
        <f>IFERROR(IF(J435="","",VLOOKUP(J435,Lists!$K$2:$O$61,2,FALSE)),"")</f>
        <v/>
      </c>
      <c r="M435" s="9" t="str">
        <f>IFERROR(IF(J435="","",VLOOKUP(J435,Lists!$K$2:$O$61,3,FALSE)),"")</f>
        <v/>
      </c>
      <c r="N435" s="10"/>
      <c r="O435" s="10"/>
      <c r="P435" s="6"/>
      <c r="Q435" s="10"/>
      <c r="R435" s="6"/>
    </row>
    <row r="436" spans="1:18" x14ac:dyDescent="0.25">
      <c r="A436" s="8"/>
      <c r="B436" s="9" t="str">
        <f>IF(A436="","","W"&amp;(INT((A436-Lists!$B$2)/7)+1))</f>
        <v/>
      </c>
      <c r="C436" s="10"/>
      <c r="D436" s="10"/>
      <c r="E436" s="9" t="str">
        <f t="shared" si="6"/>
        <v/>
      </c>
      <c r="F436" s="11"/>
      <c r="G436" s="10"/>
      <c r="H436" s="10"/>
      <c r="I436" s="10"/>
      <c r="J436" s="10"/>
      <c r="K436" s="12" t="str">
        <f>IFERROR(IF(J436="","",VLOOKUP(J436,Lists!$K$2:$O$61,5,FALSE)),"")</f>
        <v/>
      </c>
      <c r="L436" s="9" t="str">
        <f>IFERROR(IF(J436="","",VLOOKUP(J436,Lists!$K$2:$O$61,2,FALSE)),"")</f>
        <v/>
      </c>
      <c r="M436" s="9" t="str">
        <f>IFERROR(IF(J436="","",VLOOKUP(J436,Lists!$K$2:$O$61,3,FALSE)),"")</f>
        <v/>
      </c>
      <c r="N436" s="10"/>
      <c r="O436" s="10"/>
      <c r="P436" s="6"/>
      <c r="Q436" s="10"/>
      <c r="R436" s="6"/>
    </row>
    <row r="437" spans="1:18" x14ac:dyDescent="0.25">
      <c r="A437" s="8"/>
      <c r="B437" s="9" t="str">
        <f>IF(A437="","","W"&amp;(INT((A437-Lists!$B$2)/7)+1))</f>
        <v/>
      </c>
      <c r="C437" s="10"/>
      <c r="D437" s="10"/>
      <c r="E437" s="9" t="str">
        <f t="shared" si="6"/>
        <v/>
      </c>
      <c r="F437" s="11"/>
      <c r="G437" s="10"/>
      <c r="H437" s="10"/>
      <c r="I437" s="10"/>
      <c r="J437" s="10"/>
      <c r="K437" s="12" t="str">
        <f>IFERROR(IF(J437="","",VLOOKUP(J437,Lists!$K$2:$O$61,5,FALSE)),"")</f>
        <v/>
      </c>
      <c r="L437" s="9" t="str">
        <f>IFERROR(IF(J437="","",VLOOKUP(J437,Lists!$K$2:$O$61,2,FALSE)),"")</f>
        <v/>
      </c>
      <c r="M437" s="9" t="str">
        <f>IFERROR(IF(J437="","",VLOOKUP(J437,Lists!$K$2:$O$61,3,FALSE)),"")</f>
        <v/>
      </c>
      <c r="N437" s="10"/>
      <c r="O437" s="10"/>
      <c r="P437" s="6"/>
      <c r="Q437" s="10"/>
      <c r="R437" s="6"/>
    </row>
    <row r="438" spans="1:18" x14ac:dyDescent="0.25">
      <c r="A438" s="8"/>
      <c r="B438" s="9" t="str">
        <f>IF(A438="","","W"&amp;(INT((A438-Lists!$B$2)/7)+1))</f>
        <v/>
      </c>
      <c r="C438" s="10"/>
      <c r="D438" s="10"/>
      <c r="E438" s="9" t="str">
        <f t="shared" si="6"/>
        <v/>
      </c>
      <c r="F438" s="11"/>
      <c r="G438" s="10"/>
      <c r="H438" s="10"/>
      <c r="I438" s="10"/>
      <c r="J438" s="10"/>
      <c r="K438" s="12" t="str">
        <f>IFERROR(IF(J438="","",VLOOKUP(J438,Lists!$K$2:$O$61,5,FALSE)),"")</f>
        <v/>
      </c>
      <c r="L438" s="9" t="str">
        <f>IFERROR(IF(J438="","",VLOOKUP(J438,Lists!$K$2:$O$61,2,FALSE)),"")</f>
        <v/>
      </c>
      <c r="M438" s="9" t="str">
        <f>IFERROR(IF(J438="","",VLOOKUP(J438,Lists!$K$2:$O$61,3,FALSE)),"")</f>
        <v/>
      </c>
      <c r="N438" s="10"/>
      <c r="O438" s="10"/>
      <c r="P438" s="6"/>
      <c r="Q438" s="10"/>
      <c r="R438" s="6"/>
    </row>
    <row r="439" spans="1:18" x14ac:dyDescent="0.25">
      <c r="A439" s="8"/>
      <c r="B439" s="9" t="str">
        <f>IF(A439="","","W"&amp;(INT((A439-Lists!$B$2)/7)+1))</f>
        <v/>
      </c>
      <c r="C439" s="10"/>
      <c r="D439" s="10"/>
      <c r="E439" s="9" t="str">
        <f t="shared" si="6"/>
        <v/>
      </c>
      <c r="F439" s="11"/>
      <c r="G439" s="10"/>
      <c r="H439" s="10"/>
      <c r="I439" s="10"/>
      <c r="J439" s="10"/>
      <c r="K439" s="12" t="str">
        <f>IFERROR(IF(J439="","",VLOOKUP(J439,Lists!$K$2:$O$61,5,FALSE)),"")</f>
        <v/>
      </c>
      <c r="L439" s="9" t="str">
        <f>IFERROR(IF(J439="","",VLOOKUP(J439,Lists!$K$2:$O$61,2,FALSE)),"")</f>
        <v/>
      </c>
      <c r="M439" s="9" t="str">
        <f>IFERROR(IF(J439="","",VLOOKUP(J439,Lists!$K$2:$O$61,3,FALSE)),"")</f>
        <v/>
      </c>
      <c r="N439" s="10"/>
      <c r="O439" s="10"/>
      <c r="P439" s="6"/>
      <c r="Q439" s="10"/>
      <c r="R439" s="6"/>
    </row>
    <row r="440" spans="1:18" x14ac:dyDescent="0.25">
      <c r="A440" s="8"/>
      <c r="B440" s="9" t="str">
        <f>IF(A440="","","W"&amp;(INT((A440-Lists!$B$2)/7)+1))</f>
        <v/>
      </c>
      <c r="C440" s="10"/>
      <c r="D440" s="10"/>
      <c r="E440" s="9" t="str">
        <f t="shared" si="6"/>
        <v/>
      </c>
      <c r="F440" s="11"/>
      <c r="G440" s="10"/>
      <c r="H440" s="10"/>
      <c r="I440" s="10"/>
      <c r="J440" s="10"/>
      <c r="K440" s="12" t="str">
        <f>IFERROR(IF(J440="","",VLOOKUP(J440,Lists!$K$2:$O$61,5,FALSE)),"")</f>
        <v/>
      </c>
      <c r="L440" s="9" t="str">
        <f>IFERROR(IF(J440="","",VLOOKUP(J440,Lists!$K$2:$O$61,2,FALSE)),"")</f>
        <v/>
      </c>
      <c r="M440" s="9" t="str">
        <f>IFERROR(IF(J440="","",VLOOKUP(J440,Lists!$K$2:$O$61,3,FALSE)),"")</f>
        <v/>
      </c>
      <c r="N440" s="10"/>
      <c r="O440" s="10"/>
      <c r="P440" s="6"/>
      <c r="Q440" s="10"/>
      <c r="R440" s="6"/>
    </row>
    <row r="441" spans="1:18" x14ac:dyDescent="0.25">
      <c r="A441" s="8"/>
      <c r="B441" s="9" t="str">
        <f>IF(A441="","","W"&amp;(INT((A441-Lists!$B$2)/7)+1))</f>
        <v/>
      </c>
      <c r="C441" s="10"/>
      <c r="D441" s="10"/>
      <c r="E441" s="9" t="str">
        <f t="shared" si="6"/>
        <v/>
      </c>
      <c r="F441" s="11"/>
      <c r="G441" s="10"/>
      <c r="H441" s="10"/>
      <c r="I441" s="10"/>
      <c r="J441" s="10"/>
      <c r="K441" s="12" t="str">
        <f>IFERROR(IF(J441="","",VLOOKUP(J441,Lists!$K$2:$O$61,5,FALSE)),"")</f>
        <v/>
      </c>
      <c r="L441" s="9" t="str">
        <f>IFERROR(IF(J441="","",VLOOKUP(J441,Lists!$K$2:$O$61,2,FALSE)),"")</f>
        <v/>
      </c>
      <c r="M441" s="9" t="str">
        <f>IFERROR(IF(J441="","",VLOOKUP(J441,Lists!$K$2:$O$61,3,FALSE)),"")</f>
        <v/>
      </c>
      <c r="N441" s="10"/>
      <c r="O441" s="10"/>
      <c r="P441" s="6"/>
      <c r="Q441" s="10"/>
      <c r="R441" s="6"/>
    </row>
    <row r="442" spans="1:18" x14ac:dyDescent="0.25">
      <c r="A442" s="8"/>
      <c r="B442" s="9" t="str">
        <f>IF(A442="","","W"&amp;(INT((A442-Lists!$B$2)/7)+1))</f>
        <v/>
      </c>
      <c r="C442" s="10"/>
      <c r="D442" s="10"/>
      <c r="E442" s="9" t="str">
        <f t="shared" si="6"/>
        <v/>
      </c>
      <c r="F442" s="11"/>
      <c r="G442" s="10"/>
      <c r="H442" s="10"/>
      <c r="I442" s="10"/>
      <c r="J442" s="10"/>
      <c r="K442" s="12" t="str">
        <f>IFERROR(IF(J442="","",VLOOKUP(J442,Lists!$K$2:$O$61,5,FALSE)),"")</f>
        <v/>
      </c>
      <c r="L442" s="9" t="str">
        <f>IFERROR(IF(J442="","",VLOOKUP(J442,Lists!$K$2:$O$61,2,FALSE)),"")</f>
        <v/>
      </c>
      <c r="M442" s="9" t="str">
        <f>IFERROR(IF(J442="","",VLOOKUP(J442,Lists!$K$2:$O$61,3,FALSE)),"")</f>
        <v/>
      </c>
      <c r="N442" s="10"/>
      <c r="O442" s="10"/>
      <c r="P442" s="6"/>
      <c r="Q442" s="10"/>
      <c r="R442" s="6"/>
    </row>
    <row r="443" spans="1:18" x14ac:dyDescent="0.25">
      <c r="A443" s="8"/>
      <c r="B443" s="9" t="str">
        <f>IF(A443="","","W"&amp;(INT((A443-Lists!$B$2)/7)+1))</f>
        <v/>
      </c>
      <c r="C443" s="10"/>
      <c r="D443" s="10"/>
      <c r="E443" s="9" t="str">
        <f t="shared" si="6"/>
        <v/>
      </c>
      <c r="F443" s="11"/>
      <c r="G443" s="10"/>
      <c r="H443" s="10"/>
      <c r="I443" s="10"/>
      <c r="J443" s="10"/>
      <c r="K443" s="12" t="str">
        <f>IFERROR(IF(J443="","",VLOOKUP(J443,Lists!$K$2:$O$61,5,FALSE)),"")</f>
        <v/>
      </c>
      <c r="L443" s="9" t="str">
        <f>IFERROR(IF(J443="","",VLOOKUP(J443,Lists!$K$2:$O$61,2,FALSE)),"")</f>
        <v/>
      </c>
      <c r="M443" s="9" t="str">
        <f>IFERROR(IF(J443="","",VLOOKUP(J443,Lists!$K$2:$O$61,3,FALSE)),"")</f>
        <v/>
      </c>
      <c r="N443" s="10"/>
      <c r="O443" s="10"/>
      <c r="P443" s="6"/>
      <c r="Q443" s="10"/>
      <c r="R443" s="6"/>
    </row>
    <row r="444" spans="1:18" x14ac:dyDescent="0.25">
      <c r="A444" s="8"/>
      <c r="B444" s="9" t="str">
        <f>IF(A444="","","W"&amp;(INT((A444-Lists!$B$2)/7)+1))</f>
        <v/>
      </c>
      <c r="C444" s="10"/>
      <c r="D444" s="10"/>
      <c r="E444" s="9" t="str">
        <f t="shared" si="6"/>
        <v/>
      </c>
      <c r="F444" s="11"/>
      <c r="G444" s="10"/>
      <c r="H444" s="10"/>
      <c r="I444" s="10"/>
      <c r="J444" s="10"/>
      <c r="K444" s="12" t="str">
        <f>IFERROR(IF(J444="","",VLOOKUP(J444,Lists!$K$2:$O$61,5,FALSE)),"")</f>
        <v/>
      </c>
      <c r="L444" s="9" t="str">
        <f>IFERROR(IF(J444="","",VLOOKUP(J444,Lists!$K$2:$O$61,2,FALSE)),"")</f>
        <v/>
      </c>
      <c r="M444" s="9" t="str">
        <f>IFERROR(IF(J444="","",VLOOKUP(J444,Lists!$K$2:$O$61,3,FALSE)),"")</f>
        <v/>
      </c>
      <c r="N444" s="10"/>
      <c r="O444" s="10"/>
      <c r="P444" s="6"/>
      <c r="Q444" s="10"/>
      <c r="R444" s="6"/>
    </row>
    <row r="445" spans="1:18" x14ac:dyDescent="0.25">
      <c r="A445" s="8"/>
      <c r="B445" s="9" t="str">
        <f>IF(A445="","","W"&amp;(INT((A445-Lists!$B$2)/7)+1))</f>
        <v/>
      </c>
      <c r="C445" s="10"/>
      <c r="D445" s="10"/>
      <c r="E445" s="9" t="str">
        <f t="shared" si="6"/>
        <v/>
      </c>
      <c r="F445" s="11"/>
      <c r="G445" s="10"/>
      <c r="H445" s="10"/>
      <c r="I445" s="10"/>
      <c r="J445" s="10"/>
      <c r="K445" s="12" t="str">
        <f>IFERROR(IF(J445="","",VLOOKUP(J445,Lists!$K$2:$O$61,5,FALSE)),"")</f>
        <v/>
      </c>
      <c r="L445" s="9" t="str">
        <f>IFERROR(IF(J445="","",VLOOKUP(J445,Lists!$K$2:$O$61,2,FALSE)),"")</f>
        <v/>
      </c>
      <c r="M445" s="9" t="str">
        <f>IFERROR(IF(J445="","",VLOOKUP(J445,Lists!$K$2:$O$61,3,FALSE)),"")</f>
        <v/>
      </c>
      <c r="N445" s="10"/>
      <c r="O445" s="10"/>
      <c r="P445" s="6"/>
      <c r="Q445" s="10"/>
      <c r="R445" s="6"/>
    </row>
    <row r="446" spans="1:18" x14ac:dyDescent="0.25">
      <c r="A446" s="8"/>
      <c r="B446" s="9" t="str">
        <f>IF(A446="","","W"&amp;(INT((A446-Lists!$B$2)/7)+1))</f>
        <v/>
      </c>
      <c r="C446" s="10"/>
      <c r="D446" s="10"/>
      <c r="E446" s="9" t="str">
        <f t="shared" si="6"/>
        <v/>
      </c>
      <c r="F446" s="11"/>
      <c r="G446" s="10"/>
      <c r="H446" s="10"/>
      <c r="I446" s="10"/>
      <c r="J446" s="10"/>
      <c r="K446" s="12" t="str">
        <f>IFERROR(IF(J446="","",VLOOKUP(J446,Lists!$K$2:$O$61,5,FALSE)),"")</f>
        <v/>
      </c>
      <c r="L446" s="9" t="str">
        <f>IFERROR(IF(J446="","",VLOOKUP(J446,Lists!$K$2:$O$61,2,FALSE)),"")</f>
        <v/>
      </c>
      <c r="M446" s="9" t="str">
        <f>IFERROR(IF(J446="","",VLOOKUP(J446,Lists!$K$2:$O$61,3,FALSE)),"")</f>
        <v/>
      </c>
      <c r="N446" s="10"/>
      <c r="O446" s="10"/>
      <c r="P446" s="6"/>
      <c r="Q446" s="10"/>
      <c r="R446" s="6"/>
    </row>
    <row r="447" spans="1:18" x14ac:dyDescent="0.25">
      <c r="A447" s="8"/>
      <c r="B447" s="9" t="str">
        <f>IF(A447="","","W"&amp;(INT((A447-Lists!$B$2)/7)+1))</f>
        <v/>
      </c>
      <c r="C447" s="10"/>
      <c r="D447" s="10"/>
      <c r="E447" s="9" t="str">
        <f t="shared" si="6"/>
        <v/>
      </c>
      <c r="F447" s="11"/>
      <c r="G447" s="10"/>
      <c r="H447" s="10"/>
      <c r="I447" s="10"/>
      <c r="J447" s="10"/>
      <c r="K447" s="12" t="str">
        <f>IFERROR(IF(J447="","",VLOOKUP(J447,Lists!$K$2:$O$61,5,FALSE)),"")</f>
        <v/>
      </c>
      <c r="L447" s="9" t="str">
        <f>IFERROR(IF(J447="","",VLOOKUP(J447,Lists!$K$2:$O$61,2,FALSE)),"")</f>
        <v/>
      </c>
      <c r="M447" s="9" t="str">
        <f>IFERROR(IF(J447="","",VLOOKUP(J447,Lists!$K$2:$O$61,3,FALSE)),"")</f>
        <v/>
      </c>
      <c r="N447" s="10"/>
      <c r="O447" s="10"/>
      <c r="P447" s="6"/>
      <c r="Q447" s="10"/>
      <c r="R447" s="6"/>
    </row>
    <row r="448" spans="1:18" x14ac:dyDescent="0.25">
      <c r="A448" s="8"/>
      <c r="B448" s="9" t="str">
        <f>IF(A448="","","W"&amp;(INT((A448-Lists!$B$2)/7)+1))</f>
        <v/>
      </c>
      <c r="C448" s="10"/>
      <c r="D448" s="10"/>
      <c r="E448" s="9" t="str">
        <f t="shared" si="6"/>
        <v/>
      </c>
      <c r="F448" s="11"/>
      <c r="G448" s="10"/>
      <c r="H448" s="10"/>
      <c r="I448" s="10"/>
      <c r="J448" s="10"/>
      <c r="K448" s="12" t="str">
        <f>IFERROR(IF(J448="","",VLOOKUP(J448,Lists!$K$2:$O$61,5,FALSE)),"")</f>
        <v/>
      </c>
      <c r="L448" s="9" t="str">
        <f>IFERROR(IF(J448="","",VLOOKUP(J448,Lists!$K$2:$O$61,2,FALSE)),"")</f>
        <v/>
      </c>
      <c r="M448" s="9" t="str">
        <f>IFERROR(IF(J448="","",VLOOKUP(J448,Lists!$K$2:$O$61,3,FALSE)),"")</f>
        <v/>
      </c>
      <c r="N448" s="10"/>
      <c r="O448" s="10"/>
      <c r="P448" s="6"/>
      <c r="Q448" s="10"/>
      <c r="R448" s="6"/>
    </row>
    <row r="449" spans="1:18" x14ac:dyDescent="0.25">
      <c r="A449" s="8"/>
      <c r="B449" s="9" t="str">
        <f>IF(A449="","","W"&amp;(INT((A449-Lists!$B$2)/7)+1))</f>
        <v/>
      </c>
      <c r="C449" s="10"/>
      <c r="D449" s="10"/>
      <c r="E449" s="9" t="str">
        <f t="shared" si="6"/>
        <v/>
      </c>
      <c r="F449" s="11"/>
      <c r="G449" s="10"/>
      <c r="H449" s="10"/>
      <c r="I449" s="10"/>
      <c r="J449" s="10"/>
      <c r="K449" s="12" t="str">
        <f>IFERROR(IF(J449="","",VLOOKUP(J449,Lists!$K$2:$O$61,5,FALSE)),"")</f>
        <v/>
      </c>
      <c r="L449" s="9" t="str">
        <f>IFERROR(IF(J449="","",VLOOKUP(J449,Lists!$K$2:$O$61,2,FALSE)),"")</f>
        <v/>
      </c>
      <c r="M449" s="9" t="str">
        <f>IFERROR(IF(J449="","",VLOOKUP(J449,Lists!$K$2:$O$61,3,FALSE)),"")</f>
        <v/>
      </c>
      <c r="N449" s="10"/>
      <c r="O449" s="10"/>
      <c r="P449" s="6"/>
      <c r="Q449" s="10"/>
      <c r="R449" s="6"/>
    </row>
    <row r="450" spans="1:18" x14ac:dyDescent="0.25">
      <c r="A450" s="8"/>
      <c r="B450" s="9" t="str">
        <f>IF(A450="","","W"&amp;(INT((A450-Lists!$B$2)/7)+1))</f>
        <v/>
      </c>
      <c r="C450" s="10"/>
      <c r="D450" s="10"/>
      <c r="E450" s="9" t="str">
        <f t="shared" ref="E450:E513" si="7">IF(OR(C450="",D450=""),"",IF(C450=D450,"SELF-REVIEW","OK"))</f>
        <v/>
      </c>
      <c r="F450" s="11"/>
      <c r="G450" s="10"/>
      <c r="H450" s="10"/>
      <c r="I450" s="10"/>
      <c r="J450" s="10"/>
      <c r="K450" s="12" t="str">
        <f>IFERROR(IF(J450="","",VLOOKUP(J450,Lists!$K$2:$O$61,5,FALSE)),"")</f>
        <v/>
      </c>
      <c r="L450" s="9" t="str">
        <f>IFERROR(IF(J450="","",VLOOKUP(J450,Lists!$K$2:$O$61,2,FALSE)),"")</f>
        <v/>
      </c>
      <c r="M450" s="9" t="str">
        <f>IFERROR(IF(J450="","",VLOOKUP(J450,Lists!$K$2:$O$61,3,FALSE)),"")</f>
        <v/>
      </c>
      <c r="N450" s="10"/>
      <c r="O450" s="10"/>
      <c r="P450" s="6"/>
      <c r="Q450" s="10"/>
      <c r="R450" s="6"/>
    </row>
    <row r="451" spans="1:18" x14ac:dyDescent="0.25">
      <c r="A451" s="8"/>
      <c r="B451" s="9" t="str">
        <f>IF(A451="","","W"&amp;(INT((A451-Lists!$B$2)/7)+1))</f>
        <v/>
      </c>
      <c r="C451" s="10"/>
      <c r="D451" s="10"/>
      <c r="E451" s="9" t="str">
        <f t="shared" si="7"/>
        <v/>
      </c>
      <c r="F451" s="11"/>
      <c r="G451" s="10"/>
      <c r="H451" s="10"/>
      <c r="I451" s="10"/>
      <c r="J451" s="10"/>
      <c r="K451" s="12" t="str">
        <f>IFERROR(IF(J451="","",VLOOKUP(J451,Lists!$K$2:$O$61,5,FALSE)),"")</f>
        <v/>
      </c>
      <c r="L451" s="9" t="str">
        <f>IFERROR(IF(J451="","",VLOOKUP(J451,Lists!$K$2:$O$61,2,FALSE)),"")</f>
        <v/>
      </c>
      <c r="M451" s="9" t="str">
        <f>IFERROR(IF(J451="","",VLOOKUP(J451,Lists!$K$2:$O$61,3,FALSE)),"")</f>
        <v/>
      </c>
      <c r="N451" s="10"/>
      <c r="O451" s="10"/>
      <c r="P451" s="6"/>
      <c r="Q451" s="10"/>
      <c r="R451" s="6"/>
    </row>
    <row r="452" spans="1:18" x14ac:dyDescent="0.25">
      <c r="A452" s="8"/>
      <c r="B452" s="9" t="str">
        <f>IF(A452="","","W"&amp;(INT((A452-Lists!$B$2)/7)+1))</f>
        <v/>
      </c>
      <c r="C452" s="10"/>
      <c r="D452" s="10"/>
      <c r="E452" s="9" t="str">
        <f t="shared" si="7"/>
        <v/>
      </c>
      <c r="F452" s="11"/>
      <c r="G452" s="10"/>
      <c r="H452" s="10"/>
      <c r="I452" s="10"/>
      <c r="J452" s="10"/>
      <c r="K452" s="12" t="str">
        <f>IFERROR(IF(J452="","",VLOOKUP(J452,Lists!$K$2:$O$61,5,FALSE)),"")</f>
        <v/>
      </c>
      <c r="L452" s="9" t="str">
        <f>IFERROR(IF(J452="","",VLOOKUP(J452,Lists!$K$2:$O$61,2,FALSE)),"")</f>
        <v/>
      </c>
      <c r="M452" s="9" t="str">
        <f>IFERROR(IF(J452="","",VLOOKUP(J452,Lists!$K$2:$O$61,3,FALSE)),"")</f>
        <v/>
      </c>
      <c r="N452" s="10"/>
      <c r="O452" s="10"/>
      <c r="P452" s="6"/>
      <c r="Q452" s="10"/>
      <c r="R452" s="6"/>
    </row>
    <row r="453" spans="1:18" x14ac:dyDescent="0.25">
      <c r="A453" s="8"/>
      <c r="B453" s="9" t="str">
        <f>IF(A453="","","W"&amp;(INT((A453-Lists!$B$2)/7)+1))</f>
        <v/>
      </c>
      <c r="C453" s="10"/>
      <c r="D453" s="10"/>
      <c r="E453" s="9" t="str">
        <f t="shared" si="7"/>
        <v/>
      </c>
      <c r="F453" s="11"/>
      <c r="G453" s="10"/>
      <c r="H453" s="10"/>
      <c r="I453" s="10"/>
      <c r="J453" s="10"/>
      <c r="K453" s="12" t="str">
        <f>IFERROR(IF(J453="","",VLOOKUP(J453,Lists!$K$2:$O$61,5,FALSE)),"")</f>
        <v/>
      </c>
      <c r="L453" s="9" t="str">
        <f>IFERROR(IF(J453="","",VLOOKUP(J453,Lists!$K$2:$O$61,2,FALSE)),"")</f>
        <v/>
      </c>
      <c r="M453" s="9" t="str">
        <f>IFERROR(IF(J453="","",VLOOKUP(J453,Lists!$K$2:$O$61,3,FALSE)),"")</f>
        <v/>
      </c>
      <c r="N453" s="10"/>
      <c r="O453" s="10"/>
      <c r="P453" s="6"/>
      <c r="Q453" s="10"/>
      <c r="R453" s="6"/>
    </row>
    <row r="454" spans="1:18" x14ac:dyDescent="0.25">
      <c r="A454" s="8"/>
      <c r="B454" s="9" t="str">
        <f>IF(A454="","","W"&amp;(INT((A454-Lists!$B$2)/7)+1))</f>
        <v/>
      </c>
      <c r="C454" s="10"/>
      <c r="D454" s="10"/>
      <c r="E454" s="9" t="str">
        <f t="shared" si="7"/>
        <v/>
      </c>
      <c r="F454" s="11"/>
      <c r="G454" s="10"/>
      <c r="H454" s="10"/>
      <c r="I454" s="10"/>
      <c r="J454" s="10"/>
      <c r="K454" s="12" t="str">
        <f>IFERROR(IF(J454="","",VLOOKUP(J454,Lists!$K$2:$O$61,5,FALSE)),"")</f>
        <v/>
      </c>
      <c r="L454" s="9" t="str">
        <f>IFERROR(IF(J454="","",VLOOKUP(J454,Lists!$K$2:$O$61,2,FALSE)),"")</f>
        <v/>
      </c>
      <c r="M454" s="9" t="str">
        <f>IFERROR(IF(J454="","",VLOOKUP(J454,Lists!$K$2:$O$61,3,FALSE)),"")</f>
        <v/>
      </c>
      <c r="N454" s="10"/>
      <c r="O454" s="10"/>
      <c r="P454" s="6"/>
      <c r="Q454" s="10"/>
      <c r="R454" s="6"/>
    </row>
    <row r="455" spans="1:18" x14ac:dyDescent="0.25">
      <c r="A455" s="8"/>
      <c r="B455" s="9" t="str">
        <f>IF(A455="","","W"&amp;(INT((A455-Lists!$B$2)/7)+1))</f>
        <v/>
      </c>
      <c r="C455" s="10"/>
      <c r="D455" s="10"/>
      <c r="E455" s="9" t="str">
        <f t="shared" si="7"/>
        <v/>
      </c>
      <c r="F455" s="11"/>
      <c r="G455" s="10"/>
      <c r="H455" s="10"/>
      <c r="I455" s="10"/>
      <c r="J455" s="10"/>
      <c r="K455" s="12" t="str">
        <f>IFERROR(IF(J455="","",VLOOKUP(J455,Lists!$K$2:$O$61,5,FALSE)),"")</f>
        <v/>
      </c>
      <c r="L455" s="9" t="str">
        <f>IFERROR(IF(J455="","",VLOOKUP(J455,Lists!$K$2:$O$61,2,FALSE)),"")</f>
        <v/>
      </c>
      <c r="M455" s="9" t="str">
        <f>IFERROR(IF(J455="","",VLOOKUP(J455,Lists!$K$2:$O$61,3,FALSE)),"")</f>
        <v/>
      </c>
      <c r="N455" s="10"/>
      <c r="O455" s="10"/>
      <c r="P455" s="6"/>
      <c r="Q455" s="10"/>
      <c r="R455" s="6"/>
    </row>
    <row r="456" spans="1:18" x14ac:dyDescent="0.25">
      <c r="A456" s="8"/>
      <c r="B456" s="9" t="str">
        <f>IF(A456="","","W"&amp;(INT((A456-Lists!$B$2)/7)+1))</f>
        <v/>
      </c>
      <c r="C456" s="10"/>
      <c r="D456" s="10"/>
      <c r="E456" s="9" t="str">
        <f t="shared" si="7"/>
        <v/>
      </c>
      <c r="F456" s="11"/>
      <c r="G456" s="10"/>
      <c r="H456" s="10"/>
      <c r="I456" s="10"/>
      <c r="J456" s="10"/>
      <c r="K456" s="12" t="str">
        <f>IFERROR(IF(J456="","",VLOOKUP(J456,Lists!$K$2:$O$61,5,FALSE)),"")</f>
        <v/>
      </c>
      <c r="L456" s="9" t="str">
        <f>IFERROR(IF(J456="","",VLOOKUP(J456,Lists!$K$2:$O$61,2,FALSE)),"")</f>
        <v/>
      </c>
      <c r="M456" s="9" t="str">
        <f>IFERROR(IF(J456="","",VLOOKUP(J456,Lists!$K$2:$O$61,3,FALSE)),"")</f>
        <v/>
      </c>
      <c r="N456" s="10"/>
      <c r="O456" s="10"/>
      <c r="P456" s="6"/>
      <c r="Q456" s="10"/>
      <c r="R456" s="6"/>
    </row>
    <row r="457" spans="1:18" x14ac:dyDescent="0.25">
      <c r="A457" s="8"/>
      <c r="B457" s="9" t="str">
        <f>IF(A457="","","W"&amp;(INT((A457-Lists!$B$2)/7)+1))</f>
        <v/>
      </c>
      <c r="C457" s="10"/>
      <c r="D457" s="10"/>
      <c r="E457" s="9" t="str">
        <f t="shared" si="7"/>
        <v/>
      </c>
      <c r="F457" s="11"/>
      <c r="G457" s="10"/>
      <c r="H457" s="10"/>
      <c r="I457" s="10"/>
      <c r="J457" s="10"/>
      <c r="K457" s="12" t="str">
        <f>IFERROR(IF(J457="","",VLOOKUP(J457,Lists!$K$2:$O$61,5,FALSE)),"")</f>
        <v/>
      </c>
      <c r="L457" s="9" t="str">
        <f>IFERROR(IF(J457="","",VLOOKUP(J457,Lists!$K$2:$O$61,2,FALSE)),"")</f>
        <v/>
      </c>
      <c r="M457" s="9" t="str">
        <f>IFERROR(IF(J457="","",VLOOKUP(J457,Lists!$K$2:$O$61,3,FALSE)),"")</f>
        <v/>
      </c>
      <c r="N457" s="10"/>
      <c r="O457" s="10"/>
      <c r="P457" s="6"/>
      <c r="Q457" s="10"/>
      <c r="R457" s="6"/>
    </row>
    <row r="458" spans="1:18" x14ac:dyDescent="0.25">
      <c r="A458" s="8"/>
      <c r="B458" s="9" t="str">
        <f>IF(A458="","","W"&amp;(INT((A458-Lists!$B$2)/7)+1))</f>
        <v/>
      </c>
      <c r="C458" s="10"/>
      <c r="D458" s="10"/>
      <c r="E458" s="9" t="str">
        <f t="shared" si="7"/>
        <v/>
      </c>
      <c r="F458" s="11"/>
      <c r="G458" s="10"/>
      <c r="H458" s="10"/>
      <c r="I458" s="10"/>
      <c r="J458" s="10"/>
      <c r="K458" s="12" t="str">
        <f>IFERROR(IF(J458="","",VLOOKUP(J458,Lists!$K$2:$O$61,5,FALSE)),"")</f>
        <v/>
      </c>
      <c r="L458" s="9" t="str">
        <f>IFERROR(IF(J458="","",VLOOKUP(J458,Lists!$K$2:$O$61,2,FALSE)),"")</f>
        <v/>
      </c>
      <c r="M458" s="9" t="str">
        <f>IFERROR(IF(J458="","",VLOOKUP(J458,Lists!$K$2:$O$61,3,FALSE)),"")</f>
        <v/>
      </c>
      <c r="N458" s="10"/>
      <c r="O458" s="10"/>
      <c r="P458" s="6"/>
      <c r="Q458" s="10"/>
      <c r="R458" s="6"/>
    </row>
    <row r="459" spans="1:18" x14ac:dyDescent="0.25">
      <c r="A459" s="8"/>
      <c r="B459" s="9" t="str">
        <f>IF(A459="","","W"&amp;(INT((A459-Lists!$B$2)/7)+1))</f>
        <v/>
      </c>
      <c r="C459" s="10"/>
      <c r="D459" s="10"/>
      <c r="E459" s="9" t="str">
        <f t="shared" si="7"/>
        <v/>
      </c>
      <c r="F459" s="11"/>
      <c r="G459" s="10"/>
      <c r="H459" s="10"/>
      <c r="I459" s="10"/>
      <c r="J459" s="10"/>
      <c r="K459" s="12" t="str">
        <f>IFERROR(IF(J459="","",VLOOKUP(J459,Lists!$K$2:$O$61,5,FALSE)),"")</f>
        <v/>
      </c>
      <c r="L459" s="9" t="str">
        <f>IFERROR(IF(J459="","",VLOOKUP(J459,Lists!$K$2:$O$61,2,FALSE)),"")</f>
        <v/>
      </c>
      <c r="M459" s="9" t="str">
        <f>IFERROR(IF(J459="","",VLOOKUP(J459,Lists!$K$2:$O$61,3,FALSE)),"")</f>
        <v/>
      </c>
      <c r="N459" s="10"/>
      <c r="O459" s="10"/>
      <c r="P459" s="6"/>
      <c r="Q459" s="10"/>
      <c r="R459" s="6"/>
    </row>
    <row r="460" spans="1:18" x14ac:dyDescent="0.25">
      <c r="A460" s="8"/>
      <c r="B460" s="9" t="str">
        <f>IF(A460="","","W"&amp;(INT((A460-Lists!$B$2)/7)+1))</f>
        <v/>
      </c>
      <c r="C460" s="10"/>
      <c r="D460" s="10"/>
      <c r="E460" s="9" t="str">
        <f t="shared" si="7"/>
        <v/>
      </c>
      <c r="F460" s="11"/>
      <c r="G460" s="10"/>
      <c r="H460" s="10"/>
      <c r="I460" s="10"/>
      <c r="J460" s="10"/>
      <c r="K460" s="12" t="str">
        <f>IFERROR(IF(J460="","",VLOOKUP(J460,Lists!$K$2:$O$61,5,FALSE)),"")</f>
        <v/>
      </c>
      <c r="L460" s="9" t="str">
        <f>IFERROR(IF(J460="","",VLOOKUP(J460,Lists!$K$2:$O$61,2,FALSE)),"")</f>
        <v/>
      </c>
      <c r="M460" s="9" t="str">
        <f>IFERROR(IF(J460="","",VLOOKUP(J460,Lists!$K$2:$O$61,3,FALSE)),"")</f>
        <v/>
      </c>
      <c r="N460" s="10"/>
      <c r="O460" s="10"/>
      <c r="P460" s="6"/>
      <c r="Q460" s="10"/>
      <c r="R460" s="6"/>
    </row>
    <row r="461" spans="1:18" x14ac:dyDescent="0.25">
      <c r="A461" s="8"/>
      <c r="B461" s="9" t="str">
        <f>IF(A461="","","W"&amp;(INT((A461-Lists!$B$2)/7)+1))</f>
        <v/>
      </c>
      <c r="C461" s="10"/>
      <c r="D461" s="10"/>
      <c r="E461" s="9" t="str">
        <f t="shared" si="7"/>
        <v/>
      </c>
      <c r="F461" s="11"/>
      <c r="G461" s="10"/>
      <c r="H461" s="10"/>
      <c r="I461" s="10"/>
      <c r="J461" s="10"/>
      <c r="K461" s="12" t="str">
        <f>IFERROR(IF(J461="","",VLOOKUP(J461,Lists!$K$2:$O$61,5,FALSE)),"")</f>
        <v/>
      </c>
      <c r="L461" s="9" t="str">
        <f>IFERROR(IF(J461="","",VLOOKUP(J461,Lists!$K$2:$O$61,2,FALSE)),"")</f>
        <v/>
      </c>
      <c r="M461" s="9" t="str">
        <f>IFERROR(IF(J461="","",VLOOKUP(J461,Lists!$K$2:$O$61,3,FALSE)),"")</f>
        <v/>
      </c>
      <c r="N461" s="10"/>
      <c r="O461" s="10"/>
      <c r="P461" s="6"/>
      <c r="Q461" s="10"/>
      <c r="R461" s="6"/>
    </row>
    <row r="462" spans="1:18" x14ac:dyDescent="0.25">
      <c r="A462" s="8"/>
      <c r="B462" s="9" t="str">
        <f>IF(A462="","","W"&amp;(INT((A462-Lists!$B$2)/7)+1))</f>
        <v/>
      </c>
      <c r="C462" s="10"/>
      <c r="D462" s="10"/>
      <c r="E462" s="9" t="str">
        <f t="shared" si="7"/>
        <v/>
      </c>
      <c r="F462" s="11"/>
      <c r="G462" s="10"/>
      <c r="H462" s="10"/>
      <c r="I462" s="10"/>
      <c r="J462" s="10"/>
      <c r="K462" s="12" t="str">
        <f>IFERROR(IF(J462="","",VLOOKUP(J462,Lists!$K$2:$O$61,5,FALSE)),"")</f>
        <v/>
      </c>
      <c r="L462" s="9" t="str">
        <f>IFERROR(IF(J462="","",VLOOKUP(J462,Lists!$K$2:$O$61,2,FALSE)),"")</f>
        <v/>
      </c>
      <c r="M462" s="9" t="str">
        <f>IFERROR(IF(J462="","",VLOOKUP(J462,Lists!$K$2:$O$61,3,FALSE)),"")</f>
        <v/>
      </c>
      <c r="N462" s="10"/>
      <c r="O462" s="10"/>
      <c r="P462" s="6"/>
      <c r="Q462" s="10"/>
      <c r="R462" s="6"/>
    </row>
    <row r="463" spans="1:18" x14ac:dyDescent="0.25">
      <c r="A463" s="8"/>
      <c r="B463" s="9" t="str">
        <f>IF(A463="","","W"&amp;(INT((A463-Lists!$B$2)/7)+1))</f>
        <v/>
      </c>
      <c r="C463" s="10"/>
      <c r="D463" s="10"/>
      <c r="E463" s="9" t="str">
        <f t="shared" si="7"/>
        <v/>
      </c>
      <c r="F463" s="11"/>
      <c r="G463" s="10"/>
      <c r="H463" s="10"/>
      <c r="I463" s="10"/>
      <c r="J463" s="10"/>
      <c r="K463" s="12" t="str">
        <f>IFERROR(IF(J463="","",VLOOKUP(J463,Lists!$K$2:$O$61,5,FALSE)),"")</f>
        <v/>
      </c>
      <c r="L463" s="9" t="str">
        <f>IFERROR(IF(J463="","",VLOOKUP(J463,Lists!$K$2:$O$61,2,FALSE)),"")</f>
        <v/>
      </c>
      <c r="M463" s="9" t="str">
        <f>IFERROR(IF(J463="","",VLOOKUP(J463,Lists!$K$2:$O$61,3,FALSE)),"")</f>
        <v/>
      </c>
      <c r="N463" s="10"/>
      <c r="O463" s="10"/>
      <c r="P463" s="6"/>
      <c r="Q463" s="10"/>
      <c r="R463" s="6"/>
    </row>
    <row r="464" spans="1:18" x14ac:dyDescent="0.25">
      <c r="A464" s="8"/>
      <c r="B464" s="9" t="str">
        <f>IF(A464="","","W"&amp;(INT((A464-Lists!$B$2)/7)+1))</f>
        <v/>
      </c>
      <c r="C464" s="10"/>
      <c r="D464" s="10"/>
      <c r="E464" s="9" t="str">
        <f t="shared" si="7"/>
        <v/>
      </c>
      <c r="F464" s="11"/>
      <c r="G464" s="10"/>
      <c r="H464" s="10"/>
      <c r="I464" s="10"/>
      <c r="J464" s="10"/>
      <c r="K464" s="12" t="str">
        <f>IFERROR(IF(J464="","",VLOOKUP(J464,Lists!$K$2:$O$61,5,FALSE)),"")</f>
        <v/>
      </c>
      <c r="L464" s="9" t="str">
        <f>IFERROR(IF(J464="","",VLOOKUP(J464,Lists!$K$2:$O$61,2,FALSE)),"")</f>
        <v/>
      </c>
      <c r="M464" s="9" t="str">
        <f>IFERROR(IF(J464="","",VLOOKUP(J464,Lists!$K$2:$O$61,3,FALSE)),"")</f>
        <v/>
      </c>
      <c r="N464" s="10"/>
      <c r="O464" s="10"/>
      <c r="P464" s="6"/>
      <c r="Q464" s="10"/>
      <c r="R464" s="6"/>
    </row>
    <row r="465" spans="1:18" x14ac:dyDescent="0.25">
      <c r="A465" s="8"/>
      <c r="B465" s="9" t="str">
        <f>IF(A465="","","W"&amp;(INT((A465-Lists!$B$2)/7)+1))</f>
        <v/>
      </c>
      <c r="C465" s="10"/>
      <c r="D465" s="10"/>
      <c r="E465" s="9" t="str">
        <f t="shared" si="7"/>
        <v/>
      </c>
      <c r="F465" s="11"/>
      <c r="G465" s="10"/>
      <c r="H465" s="10"/>
      <c r="I465" s="10"/>
      <c r="J465" s="10"/>
      <c r="K465" s="12" t="str">
        <f>IFERROR(IF(J465="","",VLOOKUP(J465,Lists!$K$2:$O$61,5,FALSE)),"")</f>
        <v/>
      </c>
      <c r="L465" s="9" t="str">
        <f>IFERROR(IF(J465="","",VLOOKUP(J465,Lists!$K$2:$O$61,2,FALSE)),"")</f>
        <v/>
      </c>
      <c r="M465" s="9" t="str">
        <f>IFERROR(IF(J465="","",VLOOKUP(J465,Lists!$K$2:$O$61,3,FALSE)),"")</f>
        <v/>
      </c>
      <c r="N465" s="10"/>
      <c r="O465" s="10"/>
      <c r="P465" s="6"/>
      <c r="Q465" s="10"/>
      <c r="R465" s="6"/>
    </row>
    <row r="466" spans="1:18" x14ac:dyDescent="0.25">
      <c r="A466" s="8"/>
      <c r="B466" s="9" t="str">
        <f>IF(A466="","","W"&amp;(INT((A466-Lists!$B$2)/7)+1))</f>
        <v/>
      </c>
      <c r="C466" s="10"/>
      <c r="D466" s="10"/>
      <c r="E466" s="9" t="str">
        <f t="shared" si="7"/>
        <v/>
      </c>
      <c r="F466" s="11"/>
      <c r="G466" s="10"/>
      <c r="H466" s="10"/>
      <c r="I466" s="10"/>
      <c r="J466" s="10"/>
      <c r="K466" s="12" t="str">
        <f>IFERROR(IF(J466="","",VLOOKUP(J466,Lists!$K$2:$O$61,5,FALSE)),"")</f>
        <v/>
      </c>
      <c r="L466" s="9" t="str">
        <f>IFERROR(IF(J466="","",VLOOKUP(J466,Lists!$K$2:$O$61,2,FALSE)),"")</f>
        <v/>
      </c>
      <c r="M466" s="9" t="str">
        <f>IFERROR(IF(J466="","",VLOOKUP(J466,Lists!$K$2:$O$61,3,FALSE)),"")</f>
        <v/>
      </c>
      <c r="N466" s="10"/>
      <c r="O466" s="10"/>
      <c r="P466" s="6"/>
      <c r="Q466" s="10"/>
      <c r="R466" s="6"/>
    </row>
    <row r="467" spans="1:18" x14ac:dyDescent="0.25">
      <c r="A467" s="8"/>
      <c r="B467" s="9" t="str">
        <f>IF(A467="","","W"&amp;(INT((A467-Lists!$B$2)/7)+1))</f>
        <v/>
      </c>
      <c r="C467" s="10"/>
      <c r="D467" s="10"/>
      <c r="E467" s="9" t="str">
        <f t="shared" si="7"/>
        <v/>
      </c>
      <c r="F467" s="11"/>
      <c r="G467" s="10"/>
      <c r="H467" s="10"/>
      <c r="I467" s="10"/>
      <c r="J467" s="10"/>
      <c r="K467" s="12" t="str">
        <f>IFERROR(IF(J467="","",VLOOKUP(J467,Lists!$K$2:$O$61,5,FALSE)),"")</f>
        <v/>
      </c>
      <c r="L467" s="9" t="str">
        <f>IFERROR(IF(J467="","",VLOOKUP(J467,Lists!$K$2:$O$61,2,FALSE)),"")</f>
        <v/>
      </c>
      <c r="M467" s="9" t="str">
        <f>IFERROR(IF(J467="","",VLOOKUP(J467,Lists!$K$2:$O$61,3,FALSE)),"")</f>
        <v/>
      </c>
      <c r="N467" s="10"/>
      <c r="O467" s="10"/>
      <c r="P467" s="6"/>
      <c r="Q467" s="10"/>
      <c r="R467" s="6"/>
    </row>
    <row r="468" spans="1:18" x14ac:dyDescent="0.25">
      <c r="A468" s="8"/>
      <c r="B468" s="9" t="str">
        <f>IF(A468="","","W"&amp;(INT((A468-Lists!$B$2)/7)+1))</f>
        <v/>
      </c>
      <c r="C468" s="10"/>
      <c r="D468" s="10"/>
      <c r="E468" s="9" t="str">
        <f t="shared" si="7"/>
        <v/>
      </c>
      <c r="F468" s="11"/>
      <c r="G468" s="10"/>
      <c r="H468" s="10"/>
      <c r="I468" s="10"/>
      <c r="J468" s="10"/>
      <c r="K468" s="12" t="str">
        <f>IFERROR(IF(J468="","",VLOOKUP(J468,Lists!$K$2:$O$61,5,FALSE)),"")</f>
        <v/>
      </c>
      <c r="L468" s="9" t="str">
        <f>IFERROR(IF(J468="","",VLOOKUP(J468,Lists!$K$2:$O$61,2,FALSE)),"")</f>
        <v/>
      </c>
      <c r="M468" s="9" t="str">
        <f>IFERROR(IF(J468="","",VLOOKUP(J468,Lists!$K$2:$O$61,3,FALSE)),"")</f>
        <v/>
      </c>
      <c r="N468" s="10"/>
      <c r="O468" s="10"/>
      <c r="P468" s="6"/>
      <c r="Q468" s="10"/>
      <c r="R468" s="6"/>
    </row>
    <row r="469" spans="1:18" x14ac:dyDescent="0.25">
      <c r="A469" s="8"/>
      <c r="B469" s="9" t="str">
        <f>IF(A469="","","W"&amp;(INT((A469-Lists!$B$2)/7)+1))</f>
        <v/>
      </c>
      <c r="C469" s="10"/>
      <c r="D469" s="10"/>
      <c r="E469" s="9" t="str">
        <f t="shared" si="7"/>
        <v/>
      </c>
      <c r="F469" s="11"/>
      <c r="G469" s="10"/>
      <c r="H469" s="10"/>
      <c r="I469" s="10"/>
      <c r="J469" s="10"/>
      <c r="K469" s="12" t="str">
        <f>IFERROR(IF(J469="","",VLOOKUP(J469,Lists!$K$2:$O$61,5,FALSE)),"")</f>
        <v/>
      </c>
      <c r="L469" s="9" t="str">
        <f>IFERROR(IF(J469="","",VLOOKUP(J469,Lists!$K$2:$O$61,2,FALSE)),"")</f>
        <v/>
      </c>
      <c r="M469" s="9" t="str">
        <f>IFERROR(IF(J469="","",VLOOKUP(J469,Lists!$K$2:$O$61,3,FALSE)),"")</f>
        <v/>
      </c>
      <c r="N469" s="10"/>
      <c r="O469" s="10"/>
      <c r="P469" s="6"/>
      <c r="Q469" s="10"/>
      <c r="R469" s="6"/>
    </row>
    <row r="470" spans="1:18" x14ac:dyDescent="0.25">
      <c r="A470" s="8"/>
      <c r="B470" s="9" t="str">
        <f>IF(A470="","","W"&amp;(INT((A470-Lists!$B$2)/7)+1))</f>
        <v/>
      </c>
      <c r="C470" s="10"/>
      <c r="D470" s="10"/>
      <c r="E470" s="9" t="str">
        <f t="shared" si="7"/>
        <v/>
      </c>
      <c r="F470" s="11"/>
      <c r="G470" s="10"/>
      <c r="H470" s="10"/>
      <c r="I470" s="10"/>
      <c r="J470" s="10"/>
      <c r="K470" s="12" t="str">
        <f>IFERROR(IF(J470="","",VLOOKUP(J470,Lists!$K$2:$O$61,5,FALSE)),"")</f>
        <v/>
      </c>
      <c r="L470" s="9" t="str">
        <f>IFERROR(IF(J470="","",VLOOKUP(J470,Lists!$K$2:$O$61,2,FALSE)),"")</f>
        <v/>
      </c>
      <c r="M470" s="9" t="str">
        <f>IFERROR(IF(J470="","",VLOOKUP(J470,Lists!$K$2:$O$61,3,FALSE)),"")</f>
        <v/>
      </c>
      <c r="N470" s="10"/>
      <c r="O470" s="10"/>
      <c r="P470" s="6"/>
      <c r="Q470" s="10"/>
      <c r="R470" s="6"/>
    </row>
    <row r="471" spans="1:18" x14ac:dyDescent="0.25">
      <c r="A471" s="8"/>
      <c r="B471" s="9" t="str">
        <f>IF(A471="","","W"&amp;(INT((A471-Lists!$B$2)/7)+1))</f>
        <v/>
      </c>
      <c r="C471" s="10"/>
      <c r="D471" s="10"/>
      <c r="E471" s="9" t="str">
        <f t="shared" si="7"/>
        <v/>
      </c>
      <c r="F471" s="11"/>
      <c r="G471" s="10"/>
      <c r="H471" s="10"/>
      <c r="I471" s="10"/>
      <c r="J471" s="10"/>
      <c r="K471" s="12" t="str">
        <f>IFERROR(IF(J471="","",VLOOKUP(J471,Lists!$K$2:$O$61,5,FALSE)),"")</f>
        <v/>
      </c>
      <c r="L471" s="9" t="str">
        <f>IFERROR(IF(J471="","",VLOOKUP(J471,Lists!$K$2:$O$61,2,FALSE)),"")</f>
        <v/>
      </c>
      <c r="M471" s="9" t="str">
        <f>IFERROR(IF(J471="","",VLOOKUP(J471,Lists!$K$2:$O$61,3,FALSE)),"")</f>
        <v/>
      </c>
      <c r="N471" s="10"/>
      <c r="O471" s="10"/>
      <c r="P471" s="6"/>
      <c r="Q471" s="10"/>
      <c r="R471" s="6"/>
    </row>
    <row r="472" spans="1:18" x14ac:dyDescent="0.25">
      <c r="A472" s="8"/>
      <c r="B472" s="9" t="str">
        <f>IF(A472="","","W"&amp;(INT((A472-Lists!$B$2)/7)+1))</f>
        <v/>
      </c>
      <c r="C472" s="10"/>
      <c r="D472" s="10"/>
      <c r="E472" s="9" t="str">
        <f t="shared" si="7"/>
        <v/>
      </c>
      <c r="F472" s="11"/>
      <c r="G472" s="10"/>
      <c r="H472" s="10"/>
      <c r="I472" s="10"/>
      <c r="J472" s="10"/>
      <c r="K472" s="12" t="str">
        <f>IFERROR(IF(J472="","",VLOOKUP(J472,Lists!$K$2:$O$61,5,FALSE)),"")</f>
        <v/>
      </c>
      <c r="L472" s="9" t="str">
        <f>IFERROR(IF(J472="","",VLOOKUP(J472,Lists!$K$2:$O$61,2,FALSE)),"")</f>
        <v/>
      </c>
      <c r="M472" s="9" t="str">
        <f>IFERROR(IF(J472="","",VLOOKUP(J472,Lists!$K$2:$O$61,3,FALSE)),"")</f>
        <v/>
      </c>
      <c r="N472" s="10"/>
      <c r="O472" s="10"/>
      <c r="P472" s="6"/>
      <c r="Q472" s="10"/>
      <c r="R472" s="6"/>
    </row>
    <row r="473" spans="1:18" x14ac:dyDescent="0.25">
      <c r="A473" s="8"/>
      <c r="B473" s="9" t="str">
        <f>IF(A473="","","W"&amp;(INT((A473-Lists!$B$2)/7)+1))</f>
        <v/>
      </c>
      <c r="C473" s="10"/>
      <c r="D473" s="10"/>
      <c r="E473" s="9" t="str">
        <f t="shared" si="7"/>
        <v/>
      </c>
      <c r="F473" s="11"/>
      <c r="G473" s="10"/>
      <c r="H473" s="10"/>
      <c r="I473" s="10"/>
      <c r="J473" s="10"/>
      <c r="K473" s="12" t="str">
        <f>IFERROR(IF(J473="","",VLOOKUP(J473,Lists!$K$2:$O$61,5,FALSE)),"")</f>
        <v/>
      </c>
      <c r="L473" s="9" t="str">
        <f>IFERROR(IF(J473="","",VLOOKUP(J473,Lists!$K$2:$O$61,2,FALSE)),"")</f>
        <v/>
      </c>
      <c r="M473" s="9" t="str">
        <f>IFERROR(IF(J473="","",VLOOKUP(J473,Lists!$K$2:$O$61,3,FALSE)),"")</f>
        <v/>
      </c>
      <c r="N473" s="10"/>
      <c r="O473" s="10"/>
      <c r="P473" s="6"/>
      <c r="Q473" s="10"/>
      <c r="R473" s="6"/>
    </row>
    <row r="474" spans="1:18" x14ac:dyDescent="0.25">
      <c r="A474" s="8"/>
      <c r="B474" s="9" t="str">
        <f>IF(A474="","","W"&amp;(INT((A474-Lists!$B$2)/7)+1))</f>
        <v/>
      </c>
      <c r="C474" s="10"/>
      <c r="D474" s="10"/>
      <c r="E474" s="9" t="str">
        <f t="shared" si="7"/>
        <v/>
      </c>
      <c r="F474" s="11"/>
      <c r="G474" s="10"/>
      <c r="H474" s="10"/>
      <c r="I474" s="10"/>
      <c r="J474" s="10"/>
      <c r="K474" s="12" t="str">
        <f>IFERROR(IF(J474="","",VLOOKUP(J474,Lists!$K$2:$O$61,5,FALSE)),"")</f>
        <v/>
      </c>
      <c r="L474" s="9" t="str">
        <f>IFERROR(IF(J474="","",VLOOKUP(J474,Lists!$K$2:$O$61,2,FALSE)),"")</f>
        <v/>
      </c>
      <c r="M474" s="9" t="str">
        <f>IFERROR(IF(J474="","",VLOOKUP(J474,Lists!$K$2:$O$61,3,FALSE)),"")</f>
        <v/>
      </c>
      <c r="N474" s="10"/>
      <c r="O474" s="10"/>
      <c r="P474" s="6"/>
      <c r="Q474" s="10"/>
      <c r="R474" s="6"/>
    </row>
    <row r="475" spans="1:18" x14ac:dyDescent="0.25">
      <c r="A475" s="8"/>
      <c r="B475" s="9" t="str">
        <f>IF(A475="","","W"&amp;(INT((A475-Lists!$B$2)/7)+1))</f>
        <v/>
      </c>
      <c r="C475" s="10"/>
      <c r="D475" s="10"/>
      <c r="E475" s="9" t="str">
        <f t="shared" si="7"/>
        <v/>
      </c>
      <c r="F475" s="11"/>
      <c r="G475" s="10"/>
      <c r="H475" s="10"/>
      <c r="I475" s="10"/>
      <c r="J475" s="10"/>
      <c r="K475" s="12" t="str">
        <f>IFERROR(IF(J475="","",VLOOKUP(J475,Lists!$K$2:$O$61,5,FALSE)),"")</f>
        <v/>
      </c>
      <c r="L475" s="9" t="str">
        <f>IFERROR(IF(J475="","",VLOOKUP(J475,Lists!$K$2:$O$61,2,FALSE)),"")</f>
        <v/>
      </c>
      <c r="M475" s="9" t="str">
        <f>IFERROR(IF(J475="","",VLOOKUP(J475,Lists!$K$2:$O$61,3,FALSE)),"")</f>
        <v/>
      </c>
      <c r="N475" s="10"/>
      <c r="O475" s="10"/>
      <c r="P475" s="6"/>
      <c r="Q475" s="10"/>
      <c r="R475" s="6"/>
    </row>
    <row r="476" spans="1:18" x14ac:dyDescent="0.25">
      <c r="A476" s="8"/>
      <c r="B476" s="9" t="str">
        <f>IF(A476="","","W"&amp;(INT((A476-Lists!$B$2)/7)+1))</f>
        <v/>
      </c>
      <c r="C476" s="10"/>
      <c r="D476" s="10"/>
      <c r="E476" s="9" t="str">
        <f t="shared" si="7"/>
        <v/>
      </c>
      <c r="F476" s="11"/>
      <c r="G476" s="10"/>
      <c r="H476" s="10"/>
      <c r="I476" s="10"/>
      <c r="J476" s="10"/>
      <c r="K476" s="12" t="str">
        <f>IFERROR(IF(J476="","",VLOOKUP(J476,Lists!$K$2:$O$61,5,FALSE)),"")</f>
        <v/>
      </c>
      <c r="L476" s="9" t="str">
        <f>IFERROR(IF(J476="","",VLOOKUP(J476,Lists!$K$2:$O$61,2,FALSE)),"")</f>
        <v/>
      </c>
      <c r="M476" s="9" t="str">
        <f>IFERROR(IF(J476="","",VLOOKUP(J476,Lists!$K$2:$O$61,3,FALSE)),"")</f>
        <v/>
      </c>
      <c r="N476" s="10"/>
      <c r="O476" s="10"/>
      <c r="P476" s="6"/>
      <c r="Q476" s="10"/>
      <c r="R476" s="6"/>
    </row>
    <row r="477" spans="1:18" x14ac:dyDescent="0.25">
      <c r="A477" s="8"/>
      <c r="B477" s="9" t="str">
        <f>IF(A477="","","W"&amp;(INT((A477-Lists!$B$2)/7)+1))</f>
        <v/>
      </c>
      <c r="C477" s="10"/>
      <c r="D477" s="10"/>
      <c r="E477" s="9" t="str">
        <f t="shared" si="7"/>
        <v/>
      </c>
      <c r="F477" s="11"/>
      <c r="G477" s="10"/>
      <c r="H477" s="10"/>
      <c r="I477" s="10"/>
      <c r="J477" s="10"/>
      <c r="K477" s="12" t="str">
        <f>IFERROR(IF(J477="","",VLOOKUP(J477,Lists!$K$2:$O$61,5,FALSE)),"")</f>
        <v/>
      </c>
      <c r="L477" s="9" t="str">
        <f>IFERROR(IF(J477="","",VLOOKUP(J477,Lists!$K$2:$O$61,2,FALSE)),"")</f>
        <v/>
      </c>
      <c r="M477" s="9" t="str">
        <f>IFERROR(IF(J477="","",VLOOKUP(J477,Lists!$K$2:$O$61,3,FALSE)),"")</f>
        <v/>
      </c>
      <c r="N477" s="10"/>
      <c r="O477" s="10"/>
      <c r="P477" s="6"/>
      <c r="Q477" s="10"/>
      <c r="R477" s="6"/>
    </row>
    <row r="478" spans="1:18" x14ac:dyDescent="0.25">
      <c r="A478" s="8"/>
      <c r="B478" s="9" t="str">
        <f>IF(A478="","","W"&amp;(INT((A478-Lists!$B$2)/7)+1))</f>
        <v/>
      </c>
      <c r="C478" s="10"/>
      <c r="D478" s="10"/>
      <c r="E478" s="9" t="str">
        <f t="shared" si="7"/>
        <v/>
      </c>
      <c r="F478" s="11"/>
      <c r="G478" s="10"/>
      <c r="H478" s="10"/>
      <c r="I478" s="10"/>
      <c r="J478" s="10"/>
      <c r="K478" s="12" t="str">
        <f>IFERROR(IF(J478="","",VLOOKUP(J478,Lists!$K$2:$O$61,5,FALSE)),"")</f>
        <v/>
      </c>
      <c r="L478" s="9" t="str">
        <f>IFERROR(IF(J478="","",VLOOKUP(J478,Lists!$K$2:$O$61,2,FALSE)),"")</f>
        <v/>
      </c>
      <c r="M478" s="9" t="str">
        <f>IFERROR(IF(J478="","",VLOOKUP(J478,Lists!$K$2:$O$61,3,FALSE)),"")</f>
        <v/>
      </c>
      <c r="N478" s="10"/>
      <c r="O478" s="10"/>
      <c r="P478" s="6"/>
      <c r="Q478" s="10"/>
      <c r="R478" s="6"/>
    </row>
    <row r="479" spans="1:18" x14ac:dyDescent="0.25">
      <c r="A479" s="8"/>
      <c r="B479" s="9" t="str">
        <f>IF(A479="","","W"&amp;(INT((A479-Lists!$B$2)/7)+1))</f>
        <v/>
      </c>
      <c r="C479" s="10"/>
      <c r="D479" s="10"/>
      <c r="E479" s="9" t="str">
        <f t="shared" si="7"/>
        <v/>
      </c>
      <c r="F479" s="11"/>
      <c r="G479" s="10"/>
      <c r="H479" s="10"/>
      <c r="I479" s="10"/>
      <c r="J479" s="10"/>
      <c r="K479" s="12" t="str">
        <f>IFERROR(IF(J479="","",VLOOKUP(J479,Lists!$K$2:$O$61,5,FALSE)),"")</f>
        <v/>
      </c>
      <c r="L479" s="9" t="str">
        <f>IFERROR(IF(J479="","",VLOOKUP(J479,Lists!$K$2:$O$61,2,FALSE)),"")</f>
        <v/>
      </c>
      <c r="M479" s="9" t="str">
        <f>IFERROR(IF(J479="","",VLOOKUP(J479,Lists!$K$2:$O$61,3,FALSE)),"")</f>
        <v/>
      </c>
      <c r="N479" s="10"/>
      <c r="O479" s="10"/>
      <c r="P479" s="6"/>
      <c r="Q479" s="10"/>
      <c r="R479" s="6"/>
    </row>
    <row r="480" spans="1:18" x14ac:dyDescent="0.25">
      <c r="A480" s="8"/>
      <c r="B480" s="9" t="str">
        <f>IF(A480="","","W"&amp;(INT((A480-Lists!$B$2)/7)+1))</f>
        <v/>
      </c>
      <c r="C480" s="10"/>
      <c r="D480" s="10"/>
      <c r="E480" s="9" t="str">
        <f t="shared" si="7"/>
        <v/>
      </c>
      <c r="F480" s="11"/>
      <c r="G480" s="10"/>
      <c r="H480" s="10"/>
      <c r="I480" s="10"/>
      <c r="J480" s="10"/>
      <c r="K480" s="12" t="str">
        <f>IFERROR(IF(J480="","",VLOOKUP(J480,Lists!$K$2:$O$61,5,FALSE)),"")</f>
        <v/>
      </c>
      <c r="L480" s="9" t="str">
        <f>IFERROR(IF(J480="","",VLOOKUP(J480,Lists!$K$2:$O$61,2,FALSE)),"")</f>
        <v/>
      </c>
      <c r="M480" s="9" t="str">
        <f>IFERROR(IF(J480="","",VLOOKUP(J480,Lists!$K$2:$O$61,3,FALSE)),"")</f>
        <v/>
      </c>
      <c r="N480" s="10"/>
      <c r="O480" s="10"/>
      <c r="P480" s="6"/>
      <c r="Q480" s="10"/>
      <c r="R480" s="6"/>
    </row>
    <row r="481" spans="1:18" x14ac:dyDescent="0.25">
      <c r="A481" s="8"/>
      <c r="B481" s="9" t="str">
        <f>IF(A481="","","W"&amp;(INT((A481-Lists!$B$2)/7)+1))</f>
        <v/>
      </c>
      <c r="C481" s="10"/>
      <c r="D481" s="10"/>
      <c r="E481" s="9" t="str">
        <f t="shared" si="7"/>
        <v/>
      </c>
      <c r="F481" s="11"/>
      <c r="G481" s="10"/>
      <c r="H481" s="10"/>
      <c r="I481" s="10"/>
      <c r="J481" s="10"/>
      <c r="K481" s="12" t="str">
        <f>IFERROR(IF(J481="","",VLOOKUP(J481,Lists!$K$2:$O$61,5,FALSE)),"")</f>
        <v/>
      </c>
      <c r="L481" s="9" t="str">
        <f>IFERROR(IF(J481="","",VLOOKUP(J481,Lists!$K$2:$O$61,2,FALSE)),"")</f>
        <v/>
      </c>
      <c r="M481" s="9" t="str">
        <f>IFERROR(IF(J481="","",VLOOKUP(J481,Lists!$K$2:$O$61,3,FALSE)),"")</f>
        <v/>
      </c>
      <c r="N481" s="10"/>
      <c r="O481" s="10"/>
      <c r="P481" s="6"/>
      <c r="Q481" s="10"/>
      <c r="R481" s="6"/>
    </row>
    <row r="482" spans="1:18" x14ac:dyDescent="0.25">
      <c r="A482" s="8"/>
      <c r="B482" s="9" t="str">
        <f>IF(A482="","","W"&amp;(INT((A482-Lists!$B$2)/7)+1))</f>
        <v/>
      </c>
      <c r="C482" s="10"/>
      <c r="D482" s="10"/>
      <c r="E482" s="9" t="str">
        <f t="shared" si="7"/>
        <v/>
      </c>
      <c r="F482" s="11"/>
      <c r="G482" s="10"/>
      <c r="H482" s="10"/>
      <c r="I482" s="10"/>
      <c r="J482" s="10"/>
      <c r="K482" s="12" t="str">
        <f>IFERROR(IF(J482="","",VLOOKUP(J482,Lists!$K$2:$O$61,5,FALSE)),"")</f>
        <v/>
      </c>
      <c r="L482" s="9" t="str">
        <f>IFERROR(IF(J482="","",VLOOKUP(J482,Lists!$K$2:$O$61,2,FALSE)),"")</f>
        <v/>
      </c>
      <c r="M482" s="9" t="str">
        <f>IFERROR(IF(J482="","",VLOOKUP(J482,Lists!$K$2:$O$61,3,FALSE)),"")</f>
        <v/>
      </c>
      <c r="N482" s="10"/>
      <c r="O482" s="10"/>
      <c r="P482" s="6"/>
      <c r="Q482" s="10"/>
      <c r="R482" s="6"/>
    </row>
    <row r="483" spans="1:18" x14ac:dyDescent="0.25">
      <c r="A483" s="8"/>
      <c r="B483" s="9" t="str">
        <f>IF(A483="","","W"&amp;(INT((A483-Lists!$B$2)/7)+1))</f>
        <v/>
      </c>
      <c r="C483" s="10"/>
      <c r="D483" s="10"/>
      <c r="E483" s="9" t="str">
        <f t="shared" si="7"/>
        <v/>
      </c>
      <c r="F483" s="11"/>
      <c r="G483" s="10"/>
      <c r="H483" s="10"/>
      <c r="I483" s="10"/>
      <c r="J483" s="10"/>
      <c r="K483" s="12" t="str">
        <f>IFERROR(IF(J483="","",VLOOKUP(J483,Lists!$K$2:$O$61,5,FALSE)),"")</f>
        <v/>
      </c>
      <c r="L483" s="9" t="str">
        <f>IFERROR(IF(J483="","",VLOOKUP(J483,Lists!$K$2:$O$61,2,FALSE)),"")</f>
        <v/>
      </c>
      <c r="M483" s="9" t="str">
        <f>IFERROR(IF(J483="","",VLOOKUP(J483,Lists!$K$2:$O$61,3,FALSE)),"")</f>
        <v/>
      </c>
      <c r="N483" s="10"/>
      <c r="O483" s="10"/>
      <c r="P483" s="6"/>
      <c r="Q483" s="10"/>
      <c r="R483" s="6"/>
    </row>
    <row r="484" spans="1:18" x14ac:dyDescent="0.25">
      <c r="A484" s="8"/>
      <c r="B484" s="9" t="str">
        <f>IF(A484="","","W"&amp;(INT((A484-Lists!$B$2)/7)+1))</f>
        <v/>
      </c>
      <c r="C484" s="10"/>
      <c r="D484" s="10"/>
      <c r="E484" s="9" t="str">
        <f t="shared" si="7"/>
        <v/>
      </c>
      <c r="F484" s="11"/>
      <c r="G484" s="10"/>
      <c r="H484" s="10"/>
      <c r="I484" s="10"/>
      <c r="J484" s="10"/>
      <c r="K484" s="12" t="str">
        <f>IFERROR(IF(J484="","",VLOOKUP(J484,Lists!$K$2:$O$61,5,FALSE)),"")</f>
        <v/>
      </c>
      <c r="L484" s="9" t="str">
        <f>IFERROR(IF(J484="","",VLOOKUP(J484,Lists!$K$2:$O$61,2,FALSE)),"")</f>
        <v/>
      </c>
      <c r="M484" s="9" t="str">
        <f>IFERROR(IF(J484="","",VLOOKUP(J484,Lists!$K$2:$O$61,3,FALSE)),"")</f>
        <v/>
      </c>
      <c r="N484" s="10"/>
      <c r="O484" s="10"/>
      <c r="P484" s="6"/>
      <c r="Q484" s="10"/>
      <c r="R484" s="6"/>
    </row>
    <row r="485" spans="1:18" x14ac:dyDescent="0.25">
      <c r="A485" s="8"/>
      <c r="B485" s="9" t="str">
        <f>IF(A485="","","W"&amp;(INT((A485-Lists!$B$2)/7)+1))</f>
        <v/>
      </c>
      <c r="C485" s="10"/>
      <c r="D485" s="10"/>
      <c r="E485" s="9" t="str">
        <f t="shared" si="7"/>
        <v/>
      </c>
      <c r="F485" s="11"/>
      <c r="G485" s="10"/>
      <c r="H485" s="10"/>
      <c r="I485" s="10"/>
      <c r="J485" s="10"/>
      <c r="K485" s="12" t="str">
        <f>IFERROR(IF(J485="","",VLOOKUP(J485,Lists!$K$2:$O$61,5,FALSE)),"")</f>
        <v/>
      </c>
      <c r="L485" s="9" t="str">
        <f>IFERROR(IF(J485="","",VLOOKUP(J485,Lists!$K$2:$O$61,2,FALSE)),"")</f>
        <v/>
      </c>
      <c r="M485" s="9" t="str">
        <f>IFERROR(IF(J485="","",VLOOKUP(J485,Lists!$K$2:$O$61,3,FALSE)),"")</f>
        <v/>
      </c>
      <c r="N485" s="10"/>
      <c r="O485" s="10"/>
      <c r="P485" s="6"/>
      <c r="Q485" s="10"/>
      <c r="R485" s="6"/>
    </row>
    <row r="486" spans="1:18" x14ac:dyDescent="0.25">
      <c r="A486" s="8"/>
      <c r="B486" s="9" t="str">
        <f>IF(A486="","","W"&amp;(INT((A486-Lists!$B$2)/7)+1))</f>
        <v/>
      </c>
      <c r="C486" s="10"/>
      <c r="D486" s="10"/>
      <c r="E486" s="9" t="str">
        <f t="shared" si="7"/>
        <v/>
      </c>
      <c r="F486" s="11"/>
      <c r="G486" s="10"/>
      <c r="H486" s="10"/>
      <c r="I486" s="10"/>
      <c r="J486" s="10"/>
      <c r="K486" s="12" t="str">
        <f>IFERROR(IF(J486="","",VLOOKUP(J486,Lists!$K$2:$O$61,5,FALSE)),"")</f>
        <v/>
      </c>
      <c r="L486" s="9" t="str">
        <f>IFERROR(IF(J486="","",VLOOKUP(J486,Lists!$K$2:$O$61,2,FALSE)),"")</f>
        <v/>
      </c>
      <c r="M486" s="9" t="str">
        <f>IFERROR(IF(J486="","",VLOOKUP(J486,Lists!$K$2:$O$61,3,FALSE)),"")</f>
        <v/>
      </c>
      <c r="N486" s="10"/>
      <c r="O486" s="10"/>
      <c r="P486" s="6"/>
      <c r="Q486" s="10"/>
      <c r="R486" s="6"/>
    </row>
    <row r="487" spans="1:18" x14ac:dyDescent="0.25">
      <c r="A487" s="8"/>
      <c r="B487" s="9" t="str">
        <f>IF(A487="","","W"&amp;(INT((A487-Lists!$B$2)/7)+1))</f>
        <v/>
      </c>
      <c r="C487" s="10"/>
      <c r="D487" s="10"/>
      <c r="E487" s="9" t="str">
        <f t="shared" si="7"/>
        <v/>
      </c>
      <c r="F487" s="11"/>
      <c r="G487" s="10"/>
      <c r="H487" s="10"/>
      <c r="I487" s="10"/>
      <c r="J487" s="10"/>
      <c r="K487" s="12" t="str">
        <f>IFERROR(IF(J487="","",VLOOKUP(J487,Lists!$K$2:$O$61,5,FALSE)),"")</f>
        <v/>
      </c>
      <c r="L487" s="9" t="str">
        <f>IFERROR(IF(J487="","",VLOOKUP(J487,Lists!$K$2:$O$61,2,FALSE)),"")</f>
        <v/>
      </c>
      <c r="M487" s="9" t="str">
        <f>IFERROR(IF(J487="","",VLOOKUP(J487,Lists!$K$2:$O$61,3,FALSE)),"")</f>
        <v/>
      </c>
      <c r="N487" s="10"/>
      <c r="O487" s="10"/>
      <c r="P487" s="6"/>
      <c r="Q487" s="10"/>
      <c r="R487" s="6"/>
    </row>
    <row r="488" spans="1:18" x14ac:dyDescent="0.25">
      <c r="A488" s="8"/>
      <c r="B488" s="9" t="str">
        <f>IF(A488="","","W"&amp;(INT((A488-Lists!$B$2)/7)+1))</f>
        <v/>
      </c>
      <c r="C488" s="10"/>
      <c r="D488" s="10"/>
      <c r="E488" s="9" t="str">
        <f t="shared" si="7"/>
        <v/>
      </c>
      <c r="F488" s="11"/>
      <c r="G488" s="10"/>
      <c r="H488" s="10"/>
      <c r="I488" s="10"/>
      <c r="J488" s="10"/>
      <c r="K488" s="12" t="str">
        <f>IFERROR(IF(J488="","",VLOOKUP(J488,Lists!$K$2:$O$61,5,FALSE)),"")</f>
        <v/>
      </c>
      <c r="L488" s="9" t="str">
        <f>IFERROR(IF(J488="","",VLOOKUP(J488,Lists!$K$2:$O$61,2,FALSE)),"")</f>
        <v/>
      </c>
      <c r="M488" s="9" t="str">
        <f>IFERROR(IF(J488="","",VLOOKUP(J488,Lists!$K$2:$O$61,3,FALSE)),"")</f>
        <v/>
      </c>
      <c r="N488" s="10"/>
      <c r="O488" s="10"/>
      <c r="P488" s="6"/>
      <c r="Q488" s="10"/>
      <c r="R488" s="6"/>
    </row>
    <row r="489" spans="1:18" x14ac:dyDescent="0.25">
      <c r="A489" s="8"/>
      <c r="B489" s="9" t="str">
        <f>IF(A489="","","W"&amp;(INT((A489-Lists!$B$2)/7)+1))</f>
        <v/>
      </c>
      <c r="C489" s="10"/>
      <c r="D489" s="10"/>
      <c r="E489" s="9" t="str">
        <f t="shared" si="7"/>
        <v/>
      </c>
      <c r="F489" s="11"/>
      <c r="G489" s="10"/>
      <c r="H489" s="10"/>
      <c r="I489" s="10"/>
      <c r="J489" s="10"/>
      <c r="K489" s="12" t="str">
        <f>IFERROR(IF(J489="","",VLOOKUP(J489,Lists!$K$2:$O$61,5,FALSE)),"")</f>
        <v/>
      </c>
      <c r="L489" s="9" t="str">
        <f>IFERROR(IF(J489="","",VLOOKUP(J489,Lists!$K$2:$O$61,2,FALSE)),"")</f>
        <v/>
      </c>
      <c r="M489" s="9" t="str">
        <f>IFERROR(IF(J489="","",VLOOKUP(J489,Lists!$K$2:$O$61,3,FALSE)),"")</f>
        <v/>
      </c>
      <c r="N489" s="10"/>
      <c r="O489" s="10"/>
      <c r="P489" s="6"/>
      <c r="Q489" s="10"/>
      <c r="R489" s="6"/>
    </row>
    <row r="490" spans="1:18" x14ac:dyDescent="0.25">
      <c r="A490" s="8"/>
      <c r="B490" s="9" t="str">
        <f>IF(A490="","","W"&amp;(INT((A490-Lists!$B$2)/7)+1))</f>
        <v/>
      </c>
      <c r="C490" s="10"/>
      <c r="D490" s="10"/>
      <c r="E490" s="9" t="str">
        <f t="shared" si="7"/>
        <v/>
      </c>
      <c r="F490" s="11"/>
      <c r="G490" s="10"/>
      <c r="H490" s="10"/>
      <c r="I490" s="10"/>
      <c r="J490" s="10"/>
      <c r="K490" s="12" t="str">
        <f>IFERROR(IF(J490="","",VLOOKUP(J490,Lists!$K$2:$O$61,5,FALSE)),"")</f>
        <v/>
      </c>
      <c r="L490" s="9" t="str">
        <f>IFERROR(IF(J490="","",VLOOKUP(J490,Lists!$K$2:$O$61,2,FALSE)),"")</f>
        <v/>
      </c>
      <c r="M490" s="9" t="str">
        <f>IFERROR(IF(J490="","",VLOOKUP(J490,Lists!$K$2:$O$61,3,FALSE)),"")</f>
        <v/>
      </c>
      <c r="N490" s="10"/>
      <c r="O490" s="10"/>
      <c r="P490" s="6"/>
      <c r="Q490" s="10"/>
      <c r="R490" s="6"/>
    </row>
    <row r="491" spans="1:18" x14ac:dyDescent="0.25">
      <c r="A491" s="8"/>
      <c r="B491" s="9" t="str">
        <f>IF(A491="","","W"&amp;(INT((A491-Lists!$B$2)/7)+1))</f>
        <v/>
      </c>
      <c r="C491" s="10"/>
      <c r="D491" s="10"/>
      <c r="E491" s="9" t="str">
        <f t="shared" si="7"/>
        <v/>
      </c>
      <c r="F491" s="11"/>
      <c r="G491" s="10"/>
      <c r="H491" s="10"/>
      <c r="I491" s="10"/>
      <c r="J491" s="10"/>
      <c r="K491" s="12" t="str">
        <f>IFERROR(IF(J491="","",VLOOKUP(J491,Lists!$K$2:$O$61,5,FALSE)),"")</f>
        <v/>
      </c>
      <c r="L491" s="9" t="str">
        <f>IFERROR(IF(J491="","",VLOOKUP(J491,Lists!$K$2:$O$61,2,FALSE)),"")</f>
        <v/>
      </c>
      <c r="M491" s="9" t="str">
        <f>IFERROR(IF(J491="","",VLOOKUP(J491,Lists!$K$2:$O$61,3,FALSE)),"")</f>
        <v/>
      </c>
      <c r="N491" s="10"/>
      <c r="O491" s="10"/>
      <c r="P491" s="6"/>
      <c r="Q491" s="10"/>
      <c r="R491" s="6"/>
    </row>
    <row r="492" spans="1:18" x14ac:dyDescent="0.25">
      <c r="A492" s="8"/>
      <c r="B492" s="9" t="str">
        <f>IF(A492="","","W"&amp;(INT((A492-Lists!$B$2)/7)+1))</f>
        <v/>
      </c>
      <c r="C492" s="10"/>
      <c r="D492" s="10"/>
      <c r="E492" s="9" t="str">
        <f t="shared" si="7"/>
        <v/>
      </c>
      <c r="F492" s="11"/>
      <c r="G492" s="10"/>
      <c r="H492" s="10"/>
      <c r="I492" s="10"/>
      <c r="J492" s="10"/>
      <c r="K492" s="12" t="str">
        <f>IFERROR(IF(J492="","",VLOOKUP(J492,Lists!$K$2:$O$61,5,FALSE)),"")</f>
        <v/>
      </c>
      <c r="L492" s="9" t="str">
        <f>IFERROR(IF(J492="","",VLOOKUP(J492,Lists!$K$2:$O$61,2,FALSE)),"")</f>
        <v/>
      </c>
      <c r="M492" s="9" t="str">
        <f>IFERROR(IF(J492="","",VLOOKUP(J492,Lists!$K$2:$O$61,3,FALSE)),"")</f>
        <v/>
      </c>
      <c r="N492" s="10"/>
      <c r="O492" s="10"/>
      <c r="P492" s="6"/>
      <c r="Q492" s="10"/>
      <c r="R492" s="6"/>
    </row>
    <row r="493" spans="1:18" x14ac:dyDescent="0.25">
      <c r="A493" s="8"/>
      <c r="B493" s="9" t="str">
        <f>IF(A493="","","W"&amp;(INT((A493-Lists!$B$2)/7)+1))</f>
        <v/>
      </c>
      <c r="C493" s="10"/>
      <c r="D493" s="10"/>
      <c r="E493" s="9" t="str">
        <f t="shared" si="7"/>
        <v/>
      </c>
      <c r="F493" s="11"/>
      <c r="G493" s="10"/>
      <c r="H493" s="10"/>
      <c r="I493" s="10"/>
      <c r="J493" s="10"/>
      <c r="K493" s="12" t="str">
        <f>IFERROR(IF(J493="","",VLOOKUP(J493,Lists!$K$2:$O$61,5,FALSE)),"")</f>
        <v/>
      </c>
      <c r="L493" s="9" t="str">
        <f>IFERROR(IF(J493="","",VLOOKUP(J493,Lists!$K$2:$O$61,2,FALSE)),"")</f>
        <v/>
      </c>
      <c r="M493" s="9" t="str">
        <f>IFERROR(IF(J493="","",VLOOKUP(J493,Lists!$K$2:$O$61,3,FALSE)),"")</f>
        <v/>
      </c>
      <c r="N493" s="10"/>
      <c r="O493" s="10"/>
      <c r="P493" s="6"/>
      <c r="Q493" s="10"/>
      <c r="R493" s="6"/>
    </row>
    <row r="494" spans="1:18" x14ac:dyDescent="0.25">
      <c r="A494" s="8"/>
      <c r="B494" s="9" t="str">
        <f>IF(A494="","","W"&amp;(INT((A494-Lists!$B$2)/7)+1))</f>
        <v/>
      </c>
      <c r="C494" s="10"/>
      <c r="D494" s="10"/>
      <c r="E494" s="9" t="str">
        <f t="shared" si="7"/>
        <v/>
      </c>
      <c r="F494" s="11"/>
      <c r="G494" s="10"/>
      <c r="H494" s="10"/>
      <c r="I494" s="10"/>
      <c r="J494" s="10"/>
      <c r="K494" s="12" t="str">
        <f>IFERROR(IF(J494="","",VLOOKUP(J494,Lists!$K$2:$O$61,5,FALSE)),"")</f>
        <v/>
      </c>
      <c r="L494" s="9" t="str">
        <f>IFERROR(IF(J494="","",VLOOKUP(J494,Lists!$K$2:$O$61,2,FALSE)),"")</f>
        <v/>
      </c>
      <c r="M494" s="9" t="str">
        <f>IFERROR(IF(J494="","",VLOOKUP(J494,Lists!$K$2:$O$61,3,FALSE)),"")</f>
        <v/>
      </c>
      <c r="N494" s="10"/>
      <c r="O494" s="10"/>
      <c r="P494" s="6"/>
      <c r="Q494" s="10"/>
      <c r="R494" s="6"/>
    </row>
    <row r="495" spans="1:18" x14ac:dyDescent="0.25">
      <c r="A495" s="8"/>
      <c r="B495" s="9" t="str">
        <f>IF(A495="","","W"&amp;(INT((A495-Lists!$B$2)/7)+1))</f>
        <v/>
      </c>
      <c r="C495" s="10"/>
      <c r="D495" s="10"/>
      <c r="E495" s="9" t="str">
        <f t="shared" si="7"/>
        <v/>
      </c>
      <c r="F495" s="11"/>
      <c r="G495" s="10"/>
      <c r="H495" s="10"/>
      <c r="I495" s="10"/>
      <c r="J495" s="10"/>
      <c r="K495" s="12" t="str">
        <f>IFERROR(IF(J495="","",VLOOKUP(J495,Lists!$K$2:$O$61,5,FALSE)),"")</f>
        <v/>
      </c>
      <c r="L495" s="9" t="str">
        <f>IFERROR(IF(J495="","",VLOOKUP(J495,Lists!$K$2:$O$61,2,FALSE)),"")</f>
        <v/>
      </c>
      <c r="M495" s="9" t="str">
        <f>IFERROR(IF(J495="","",VLOOKUP(J495,Lists!$K$2:$O$61,3,FALSE)),"")</f>
        <v/>
      </c>
      <c r="N495" s="10"/>
      <c r="O495" s="10"/>
      <c r="P495" s="6"/>
      <c r="Q495" s="10"/>
      <c r="R495" s="6"/>
    </row>
    <row r="496" spans="1:18" x14ac:dyDescent="0.25">
      <c r="A496" s="8"/>
      <c r="B496" s="9" t="str">
        <f>IF(A496="","","W"&amp;(INT((A496-Lists!$B$2)/7)+1))</f>
        <v/>
      </c>
      <c r="C496" s="10"/>
      <c r="D496" s="10"/>
      <c r="E496" s="9" t="str">
        <f t="shared" si="7"/>
        <v/>
      </c>
      <c r="F496" s="11"/>
      <c r="G496" s="10"/>
      <c r="H496" s="10"/>
      <c r="I496" s="10"/>
      <c r="J496" s="10"/>
      <c r="K496" s="12" t="str">
        <f>IFERROR(IF(J496="","",VLOOKUP(J496,Lists!$K$2:$O$61,5,FALSE)),"")</f>
        <v/>
      </c>
      <c r="L496" s="9" t="str">
        <f>IFERROR(IF(J496="","",VLOOKUP(J496,Lists!$K$2:$O$61,2,FALSE)),"")</f>
        <v/>
      </c>
      <c r="M496" s="9" t="str">
        <f>IFERROR(IF(J496="","",VLOOKUP(J496,Lists!$K$2:$O$61,3,FALSE)),"")</f>
        <v/>
      </c>
      <c r="N496" s="10"/>
      <c r="O496" s="10"/>
      <c r="P496" s="6"/>
      <c r="Q496" s="10"/>
      <c r="R496" s="6"/>
    </row>
    <row r="497" spans="1:18" x14ac:dyDescent="0.25">
      <c r="A497" s="8"/>
      <c r="B497" s="9" t="str">
        <f>IF(A497="","","W"&amp;(INT((A497-Lists!$B$2)/7)+1))</f>
        <v/>
      </c>
      <c r="C497" s="10"/>
      <c r="D497" s="10"/>
      <c r="E497" s="9" t="str">
        <f t="shared" si="7"/>
        <v/>
      </c>
      <c r="F497" s="11"/>
      <c r="G497" s="10"/>
      <c r="H497" s="10"/>
      <c r="I497" s="10"/>
      <c r="J497" s="10"/>
      <c r="K497" s="12" t="str">
        <f>IFERROR(IF(J497="","",VLOOKUP(J497,Lists!$K$2:$O$61,5,FALSE)),"")</f>
        <v/>
      </c>
      <c r="L497" s="9" t="str">
        <f>IFERROR(IF(J497="","",VLOOKUP(J497,Lists!$K$2:$O$61,2,FALSE)),"")</f>
        <v/>
      </c>
      <c r="M497" s="9" t="str">
        <f>IFERROR(IF(J497="","",VLOOKUP(J497,Lists!$K$2:$O$61,3,FALSE)),"")</f>
        <v/>
      </c>
      <c r="N497" s="10"/>
      <c r="O497" s="10"/>
      <c r="P497" s="6"/>
      <c r="Q497" s="10"/>
      <c r="R497" s="6"/>
    </row>
    <row r="498" spans="1:18" x14ac:dyDescent="0.25">
      <c r="A498" s="8"/>
      <c r="B498" s="9" t="str">
        <f>IF(A498="","","W"&amp;(INT((A498-Lists!$B$2)/7)+1))</f>
        <v/>
      </c>
      <c r="C498" s="10"/>
      <c r="D498" s="10"/>
      <c r="E498" s="9" t="str">
        <f t="shared" si="7"/>
        <v/>
      </c>
      <c r="F498" s="11"/>
      <c r="G498" s="10"/>
      <c r="H498" s="10"/>
      <c r="I498" s="10"/>
      <c r="J498" s="10"/>
      <c r="K498" s="12" t="str">
        <f>IFERROR(IF(J498="","",VLOOKUP(J498,Lists!$K$2:$O$61,5,FALSE)),"")</f>
        <v/>
      </c>
      <c r="L498" s="9" t="str">
        <f>IFERROR(IF(J498="","",VLOOKUP(J498,Lists!$K$2:$O$61,2,FALSE)),"")</f>
        <v/>
      </c>
      <c r="M498" s="9" t="str">
        <f>IFERROR(IF(J498="","",VLOOKUP(J498,Lists!$K$2:$O$61,3,FALSE)),"")</f>
        <v/>
      </c>
      <c r="N498" s="10"/>
      <c r="O498" s="10"/>
      <c r="P498" s="6"/>
      <c r="Q498" s="10"/>
      <c r="R498" s="6"/>
    </row>
    <row r="499" spans="1:18" x14ac:dyDescent="0.25">
      <c r="A499" s="8"/>
      <c r="B499" s="9" t="str">
        <f>IF(A499="","","W"&amp;(INT((A499-Lists!$B$2)/7)+1))</f>
        <v/>
      </c>
      <c r="C499" s="10"/>
      <c r="D499" s="10"/>
      <c r="E499" s="9" t="str">
        <f t="shared" si="7"/>
        <v/>
      </c>
      <c r="F499" s="11"/>
      <c r="G499" s="10"/>
      <c r="H499" s="10"/>
      <c r="I499" s="10"/>
      <c r="J499" s="10"/>
      <c r="K499" s="12" t="str">
        <f>IFERROR(IF(J499="","",VLOOKUP(J499,Lists!$K$2:$O$61,5,FALSE)),"")</f>
        <v/>
      </c>
      <c r="L499" s="9" t="str">
        <f>IFERROR(IF(J499="","",VLOOKUP(J499,Lists!$K$2:$O$61,2,FALSE)),"")</f>
        <v/>
      </c>
      <c r="M499" s="9" t="str">
        <f>IFERROR(IF(J499="","",VLOOKUP(J499,Lists!$K$2:$O$61,3,FALSE)),"")</f>
        <v/>
      </c>
      <c r="N499" s="10"/>
      <c r="O499" s="10"/>
      <c r="P499" s="6"/>
      <c r="Q499" s="10"/>
      <c r="R499" s="6"/>
    </row>
    <row r="500" spans="1:18" x14ac:dyDescent="0.25">
      <c r="A500" s="8"/>
      <c r="B500" s="9" t="str">
        <f>IF(A500="","","W"&amp;(INT((A500-Lists!$B$2)/7)+1))</f>
        <v/>
      </c>
      <c r="C500" s="10"/>
      <c r="D500" s="10"/>
      <c r="E500" s="9" t="str">
        <f t="shared" si="7"/>
        <v/>
      </c>
      <c r="F500" s="11"/>
      <c r="G500" s="10"/>
      <c r="H500" s="10"/>
      <c r="I500" s="10"/>
      <c r="J500" s="10"/>
      <c r="K500" s="12" t="str">
        <f>IFERROR(IF(J500="","",VLOOKUP(J500,Lists!$K$2:$O$61,5,FALSE)),"")</f>
        <v/>
      </c>
      <c r="L500" s="9" t="str">
        <f>IFERROR(IF(J500="","",VLOOKUP(J500,Lists!$K$2:$O$61,2,FALSE)),"")</f>
        <v/>
      </c>
      <c r="M500" s="9" t="str">
        <f>IFERROR(IF(J500="","",VLOOKUP(J500,Lists!$K$2:$O$61,3,FALSE)),"")</f>
        <v/>
      </c>
      <c r="N500" s="10"/>
      <c r="O500" s="10"/>
      <c r="P500" s="6"/>
      <c r="Q500" s="10"/>
      <c r="R500" s="6"/>
    </row>
    <row r="501" spans="1:18" x14ac:dyDescent="0.25">
      <c r="A501" s="8"/>
      <c r="B501" s="9" t="str">
        <f>IF(A501="","","W"&amp;(INT((A501-Lists!$B$2)/7)+1))</f>
        <v/>
      </c>
      <c r="C501" s="10"/>
      <c r="D501" s="10"/>
      <c r="E501" s="9" t="str">
        <f t="shared" si="7"/>
        <v/>
      </c>
      <c r="F501" s="11"/>
      <c r="G501" s="10"/>
      <c r="H501" s="10"/>
      <c r="I501" s="10"/>
      <c r="J501" s="10"/>
      <c r="K501" s="12" t="str">
        <f>IFERROR(IF(J501="","",VLOOKUP(J501,Lists!$K$2:$O$61,5,FALSE)),"")</f>
        <v/>
      </c>
      <c r="L501" s="9" t="str">
        <f>IFERROR(IF(J501="","",VLOOKUP(J501,Lists!$K$2:$O$61,2,FALSE)),"")</f>
        <v/>
      </c>
      <c r="M501" s="9" t="str">
        <f>IFERROR(IF(J501="","",VLOOKUP(J501,Lists!$K$2:$O$61,3,FALSE)),"")</f>
        <v/>
      </c>
      <c r="N501" s="10"/>
      <c r="O501" s="10"/>
      <c r="P501" s="6"/>
      <c r="Q501" s="10"/>
      <c r="R501" s="6"/>
    </row>
    <row r="502" spans="1:18" x14ac:dyDescent="0.25">
      <c r="A502" s="8"/>
      <c r="B502" s="9" t="str">
        <f>IF(A502="","","W"&amp;(INT((A502-Lists!$B$2)/7)+1))</f>
        <v/>
      </c>
      <c r="C502" s="10"/>
      <c r="D502" s="10"/>
      <c r="E502" s="9" t="str">
        <f t="shared" si="7"/>
        <v/>
      </c>
      <c r="F502" s="11"/>
      <c r="G502" s="10"/>
      <c r="H502" s="10"/>
      <c r="I502" s="10"/>
      <c r="J502" s="10"/>
      <c r="K502" s="12" t="str">
        <f>IFERROR(IF(J502="","",VLOOKUP(J502,Lists!$K$2:$O$61,5,FALSE)),"")</f>
        <v/>
      </c>
      <c r="L502" s="9" t="str">
        <f>IFERROR(IF(J502="","",VLOOKUP(J502,Lists!$K$2:$O$61,2,FALSE)),"")</f>
        <v/>
      </c>
      <c r="M502" s="9" t="str">
        <f>IFERROR(IF(J502="","",VLOOKUP(J502,Lists!$K$2:$O$61,3,FALSE)),"")</f>
        <v/>
      </c>
      <c r="N502" s="10"/>
      <c r="O502" s="10"/>
      <c r="P502" s="6"/>
      <c r="Q502" s="10"/>
      <c r="R502" s="6"/>
    </row>
    <row r="503" spans="1:18" x14ac:dyDescent="0.25">
      <c r="A503" s="8"/>
      <c r="B503" s="9" t="str">
        <f>IF(A503="","","W"&amp;(INT((A503-Lists!$B$2)/7)+1))</f>
        <v/>
      </c>
      <c r="C503" s="10"/>
      <c r="D503" s="10"/>
      <c r="E503" s="9" t="str">
        <f t="shared" si="7"/>
        <v/>
      </c>
      <c r="F503" s="11"/>
      <c r="G503" s="10"/>
      <c r="H503" s="10"/>
      <c r="I503" s="10"/>
      <c r="J503" s="10"/>
      <c r="K503" s="12" t="str">
        <f>IFERROR(IF(J503="","",VLOOKUP(J503,Lists!$K$2:$O$61,5,FALSE)),"")</f>
        <v/>
      </c>
      <c r="L503" s="9" t="str">
        <f>IFERROR(IF(J503="","",VLOOKUP(J503,Lists!$K$2:$O$61,2,FALSE)),"")</f>
        <v/>
      </c>
      <c r="M503" s="9" t="str">
        <f>IFERROR(IF(J503="","",VLOOKUP(J503,Lists!$K$2:$O$61,3,FALSE)),"")</f>
        <v/>
      </c>
      <c r="N503" s="10"/>
      <c r="O503" s="10"/>
      <c r="P503" s="6"/>
      <c r="Q503" s="10"/>
      <c r="R503" s="6"/>
    </row>
    <row r="504" spans="1:18" x14ac:dyDescent="0.25">
      <c r="A504" s="8"/>
      <c r="B504" s="9" t="str">
        <f>IF(A504="","","W"&amp;(INT((A504-Lists!$B$2)/7)+1))</f>
        <v/>
      </c>
      <c r="C504" s="10"/>
      <c r="D504" s="10"/>
      <c r="E504" s="9" t="str">
        <f t="shared" si="7"/>
        <v/>
      </c>
      <c r="F504" s="11"/>
      <c r="G504" s="10"/>
      <c r="H504" s="10"/>
      <c r="I504" s="10"/>
      <c r="J504" s="10"/>
      <c r="K504" s="12" t="str">
        <f>IFERROR(IF(J504="","",VLOOKUP(J504,Lists!$K$2:$O$61,5,FALSE)),"")</f>
        <v/>
      </c>
      <c r="L504" s="9" t="str">
        <f>IFERROR(IF(J504="","",VLOOKUP(J504,Lists!$K$2:$O$61,2,FALSE)),"")</f>
        <v/>
      </c>
      <c r="M504" s="9" t="str">
        <f>IFERROR(IF(J504="","",VLOOKUP(J504,Lists!$K$2:$O$61,3,FALSE)),"")</f>
        <v/>
      </c>
      <c r="N504" s="10"/>
      <c r="O504" s="10"/>
      <c r="P504" s="6"/>
      <c r="Q504" s="10"/>
      <c r="R504" s="6"/>
    </row>
    <row r="505" spans="1:18" x14ac:dyDescent="0.25">
      <c r="A505" s="8"/>
      <c r="B505" s="9" t="str">
        <f>IF(A505="","","W"&amp;(INT((A505-Lists!$B$2)/7)+1))</f>
        <v/>
      </c>
      <c r="C505" s="10"/>
      <c r="D505" s="10"/>
      <c r="E505" s="9" t="str">
        <f t="shared" si="7"/>
        <v/>
      </c>
      <c r="F505" s="11"/>
      <c r="G505" s="10"/>
      <c r="H505" s="10"/>
      <c r="I505" s="10"/>
      <c r="J505" s="10"/>
      <c r="K505" s="12" t="str">
        <f>IFERROR(IF(J505="","",VLOOKUP(J505,Lists!$K$2:$O$61,5,FALSE)),"")</f>
        <v/>
      </c>
      <c r="L505" s="9" t="str">
        <f>IFERROR(IF(J505="","",VLOOKUP(J505,Lists!$K$2:$O$61,2,FALSE)),"")</f>
        <v/>
      </c>
      <c r="M505" s="9" t="str">
        <f>IFERROR(IF(J505="","",VLOOKUP(J505,Lists!$K$2:$O$61,3,FALSE)),"")</f>
        <v/>
      </c>
      <c r="N505" s="10"/>
      <c r="O505" s="10"/>
      <c r="P505" s="6"/>
      <c r="Q505" s="10"/>
      <c r="R505" s="6"/>
    </row>
    <row r="506" spans="1:18" x14ac:dyDescent="0.25">
      <c r="A506" s="8"/>
      <c r="B506" s="9" t="str">
        <f>IF(A506="","","W"&amp;(INT((A506-Lists!$B$2)/7)+1))</f>
        <v/>
      </c>
      <c r="C506" s="10"/>
      <c r="D506" s="10"/>
      <c r="E506" s="9" t="str">
        <f t="shared" si="7"/>
        <v/>
      </c>
      <c r="F506" s="11"/>
      <c r="G506" s="10"/>
      <c r="H506" s="10"/>
      <c r="I506" s="10"/>
      <c r="J506" s="10"/>
      <c r="K506" s="12" t="str">
        <f>IFERROR(IF(J506="","",VLOOKUP(J506,Lists!$K$2:$O$61,5,FALSE)),"")</f>
        <v/>
      </c>
      <c r="L506" s="9" t="str">
        <f>IFERROR(IF(J506="","",VLOOKUP(J506,Lists!$K$2:$O$61,2,FALSE)),"")</f>
        <v/>
      </c>
      <c r="M506" s="9" t="str">
        <f>IFERROR(IF(J506="","",VLOOKUP(J506,Lists!$K$2:$O$61,3,FALSE)),"")</f>
        <v/>
      </c>
      <c r="N506" s="10"/>
      <c r="O506" s="10"/>
      <c r="P506" s="6"/>
      <c r="Q506" s="10"/>
      <c r="R506" s="6"/>
    </row>
    <row r="507" spans="1:18" x14ac:dyDescent="0.25">
      <c r="A507" s="8"/>
      <c r="B507" s="9" t="str">
        <f>IF(A507="","","W"&amp;(INT((A507-Lists!$B$2)/7)+1))</f>
        <v/>
      </c>
      <c r="C507" s="10"/>
      <c r="D507" s="10"/>
      <c r="E507" s="9" t="str">
        <f t="shared" si="7"/>
        <v/>
      </c>
      <c r="F507" s="11"/>
      <c r="G507" s="10"/>
      <c r="H507" s="10"/>
      <c r="I507" s="10"/>
      <c r="J507" s="10"/>
      <c r="K507" s="12" t="str">
        <f>IFERROR(IF(J507="","",VLOOKUP(J507,Lists!$K$2:$O$61,5,FALSE)),"")</f>
        <v/>
      </c>
      <c r="L507" s="9" t="str">
        <f>IFERROR(IF(J507="","",VLOOKUP(J507,Lists!$K$2:$O$61,2,FALSE)),"")</f>
        <v/>
      </c>
      <c r="M507" s="9" t="str">
        <f>IFERROR(IF(J507="","",VLOOKUP(J507,Lists!$K$2:$O$61,3,FALSE)),"")</f>
        <v/>
      </c>
      <c r="N507" s="10"/>
      <c r="O507" s="10"/>
      <c r="P507" s="6"/>
      <c r="Q507" s="10"/>
      <c r="R507" s="6"/>
    </row>
    <row r="508" spans="1:18" x14ac:dyDescent="0.25">
      <c r="A508" s="8"/>
      <c r="B508" s="9" t="str">
        <f>IF(A508="","","W"&amp;(INT((A508-Lists!$B$2)/7)+1))</f>
        <v/>
      </c>
      <c r="C508" s="10"/>
      <c r="D508" s="10"/>
      <c r="E508" s="9" t="str">
        <f t="shared" si="7"/>
        <v/>
      </c>
      <c r="F508" s="11"/>
      <c r="G508" s="10"/>
      <c r="H508" s="10"/>
      <c r="I508" s="10"/>
      <c r="J508" s="10"/>
      <c r="K508" s="12" t="str">
        <f>IFERROR(IF(J508="","",VLOOKUP(J508,Lists!$K$2:$O$61,5,FALSE)),"")</f>
        <v/>
      </c>
      <c r="L508" s="9" t="str">
        <f>IFERROR(IF(J508="","",VLOOKUP(J508,Lists!$K$2:$O$61,2,FALSE)),"")</f>
        <v/>
      </c>
      <c r="M508" s="9" t="str">
        <f>IFERROR(IF(J508="","",VLOOKUP(J508,Lists!$K$2:$O$61,3,FALSE)),"")</f>
        <v/>
      </c>
      <c r="N508" s="10"/>
      <c r="O508" s="10"/>
      <c r="P508" s="6"/>
      <c r="Q508" s="10"/>
      <c r="R508" s="6"/>
    </row>
    <row r="509" spans="1:18" x14ac:dyDescent="0.25">
      <c r="A509" s="8"/>
      <c r="B509" s="9" t="str">
        <f>IF(A509="","","W"&amp;(INT((A509-Lists!$B$2)/7)+1))</f>
        <v/>
      </c>
      <c r="C509" s="10"/>
      <c r="D509" s="10"/>
      <c r="E509" s="9" t="str">
        <f t="shared" si="7"/>
        <v/>
      </c>
      <c r="F509" s="11"/>
      <c r="G509" s="10"/>
      <c r="H509" s="10"/>
      <c r="I509" s="10"/>
      <c r="J509" s="10"/>
      <c r="K509" s="12" t="str">
        <f>IFERROR(IF(J509="","",VLOOKUP(J509,Lists!$K$2:$O$61,5,FALSE)),"")</f>
        <v/>
      </c>
      <c r="L509" s="9" t="str">
        <f>IFERROR(IF(J509="","",VLOOKUP(J509,Lists!$K$2:$O$61,2,FALSE)),"")</f>
        <v/>
      </c>
      <c r="M509" s="9" t="str">
        <f>IFERROR(IF(J509="","",VLOOKUP(J509,Lists!$K$2:$O$61,3,FALSE)),"")</f>
        <v/>
      </c>
      <c r="N509" s="10"/>
      <c r="O509" s="10"/>
      <c r="P509" s="6"/>
      <c r="Q509" s="10"/>
      <c r="R509" s="6"/>
    </row>
    <row r="510" spans="1:18" x14ac:dyDescent="0.25">
      <c r="A510" s="8"/>
      <c r="B510" s="9" t="str">
        <f>IF(A510="","","W"&amp;(INT((A510-Lists!$B$2)/7)+1))</f>
        <v/>
      </c>
      <c r="C510" s="10"/>
      <c r="D510" s="10"/>
      <c r="E510" s="9" t="str">
        <f t="shared" si="7"/>
        <v/>
      </c>
      <c r="F510" s="11"/>
      <c r="G510" s="10"/>
      <c r="H510" s="10"/>
      <c r="I510" s="10"/>
      <c r="J510" s="10"/>
      <c r="K510" s="12" t="str">
        <f>IFERROR(IF(J510="","",VLOOKUP(J510,Lists!$K$2:$O$61,5,FALSE)),"")</f>
        <v/>
      </c>
      <c r="L510" s="9" t="str">
        <f>IFERROR(IF(J510="","",VLOOKUP(J510,Lists!$K$2:$O$61,2,FALSE)),"")</f>
        <v/>
      </c>
      <c r="M510" s="9" t="str">
        <f>IFERROR(IF(J510="","",VLOOKUP(J510,Lists!$K$2:$O$61,3,FALSE)),"")</f>
        <v/>
      </c>
      <c r="N510" s="10"/>
      <c r="O510" s="10"/>
      <c r="P510" s="6"/>
      <c r="Q510" s="10"/>
      <c r="R510" s="6"/>
    </row>
    <row r="511" spans="1:18" x14ac:dyDescent="0.25">
      <c r="A511" s="8"/>
      <c r="B511" s="9" t="str">
        <f>IF(A511="","","W"&amp;(INT((A511-Lists!$B$2)/7)+1))</f>
        <v/>
      </c>
      <c r="C511" s="10"/>
      <c r="D511" s="10"/>
      <c r="E511" s="9" t="str">
        <f t="shared" si="7"/>
        <v/>
      </c>
      <c r="F511" s="11"/>
      <c r="G511" s="10"/>
      <c r="H511" s="10"/>
      <c r="I511" s="10"/>
      <c r="J511" s="10"/>
      <c r="K511" s="12" t="str">
        <f>IFERROR(IF(J511="","",VLOOKUP(J511,Lists!$K$2:$O$61,5,FALSE)),"")</f>
        <v/>
      </c>
      <c r="L511" s="9" t="str">
        <f>IFERROR(IF(J511="","",VLOOKUP(J511,Lists!$K$2:$O$61,2,FALSE)),"")</f>
        <v/>
      </c>
      <c r="M511" s="9" t="str">
        <f>IFERROR(IF(J511="","",VLOOKUP(J511,Lists!$K$2:$O$61,3,FALSE)),"")</f>
        <v/>
      </c>
      <c r="N511" s="10"/>
      <c r="O511" s="10"/>
      <c r="P511" s="6"/>
      <c r="Q511" s="10"/>
      <c r="R511" s="6"/>
    </row>
    <row r="512" spans="1:18" x14ac:dyDescent="0.25">
      <c r="A512" s="8"/>
      <c r="B512" s="9" t="str">
        <f>IF(A512="","","W"&amp;(INT((A512-Lists!$B$2)/7)+1))</f>
        <v/>
      </c>
      <c r="C512" s="10"/>
      <c r="D512" s="10"/>
      <c r="E512" s="9" t="str">
        <f t="shared" si="7"/>
        <v/>
      </c>
      <c r="F512" s="11"/>
      <c r="G512" s="10"/>
      <c r="H512" s="10"/>
      <c r="I512" s="10"/>
      <c r="J512" s="10"/>
      <c r="K512" s="12" t="str">
        <f>IFERROR(IF(J512="","",VLOOKUP(J512,Lists!$K$2:$O$61,5,FALSE)),"")</f>
        <v/>
      </c>
      <c r="L512" s="9" t="str">
        <f>IFERROR(IF(J512="","",VLOOKUP(J512,Lists!$K$2:$O$61,2,FALSE)),"")</f>
        <v/>
      </c>
      <c r="M512" s="9" t="str">
        <f>IFERROR(IF(J512="","",VLOOKUP(J512,Lists!$K$2:$O$61,3,FALSE)),"")</f>
        <v/>
      </c>
      <c r="N512" s="10"/>
      <c r="O512" s="10"/>
      <c r="P512" s="6"/>
      <c r="Q512" s="10"/>
      <c r="R512" s="6"/>
    </row>
    <row r="513" spans="1:18" x14ac:dyDescent="0.25">
      <c r="A513" s="8"/>
      <c r="B513" s="9" t="str">
        <f>IF(A513="","","W"&amp;(INT((A513-Lists!$B$2)/7)+1))</f>
        <v/>
      </c>
      <c r="C513" s="10"/>
      <c r="D513" s="10"/>
      <c r="E513" s="9" t="str">
        <f t="shared" si="7"/>
        <v/>
      </c>
      <c r="F513" s="11"/>
      <c r="G513" s="10"/>
      <c r="H513" s="10"/>
      <c r="I513" s="10"/>
      <c r="J513" s="10"/>
      <c r="K513" s="12" t="str">
        <f>IFERROR(IF(J513="","",VLOOKUP(J513,Lists!$K$2:$O$61,5,FALSE)),"")</f>
        <v/>
      </c>
      <c r="L513" s="9" t="str">
        <f>IFERROR(IF(J513="","",VLOOKUP(J513,Lists!$K$2:$O$61,2,FALSE)),"")</f>
        <v/>
      </c>
      <c r="M513" s="9" t="str">
        <f>IFERROR(IF(J513="","",VLOOKUP(J513,Lists!$K$2:$O$61,3,FALSE)),"")</f>
        <v/>
      </c>
      <c r="N513" s="10"/>
      <c r="O513" s="10"/>
      <c r="P513" s="6"/>
      <c r="Q513" s="10"/>
      <c r="R513" s="6"/>
    </row>
    <row r="514" spans="1:18" x14ac:dyDescent="0.25">
      <c r="A514" s="8"/>
      <c r="B514" s="9" t="str">
        <f>IF(A514="","","W"&amp;(INT((A514-Lists!$B$2)/7)+1))</f>
        <v/>
      </c>
      <c r="C514" s="10"/>
      <c r="D514" s="10"/>
      <c r="E514" s="9" t="str">
        <f t="shared" ref="E514:E577" si="8">IF(OR(C514="",D514=""),"",IF(C514=D514,"SELF-REVIEW","OK"))</f>
        <v/>
      </c>
      <c r="F514" s="11"/>
      <c r="G514" s="10"/>
      <c r="H514" s="10"/>
      <c r="I514" s="10"/>
      <c r="J514" s="10"/>
      <c r="K514" s="12" t="str">
        <f>IFERROR(IF(J514="","",VLOOKUP(J514,Lists!$K$2:$O$61,5,FALSE)),"")</f>
        <v/>
      </c>
      <c r="L514" s="9" t="str">
        <f>IFERROR(IF(J514="","",VLOOKUP(J514,Lists!$K$2:$O$61,2,FALSE)),"")</f>
        <v/>
      </c>
      <c r="M514" s="9" t="str">
        <f>IFERROR(IF(J514="","",VLOOKUP(J514,Lists!$K$2:$O$61,3,FALSE)),"")</f>
        <v/>
      </c>
      <c r="N514" s="10"/>
      <c r="O514" s="10"/>
      <c r="P514" s="6"/>
      <c r="Q514" s="10"/>
      <c r="R514" s="6"/>
    </row>
    <row r="515" spans="1:18" x14ac:dyDescent="0.25">
      <c r="A515" s="8"/>
      <c r="B515" s="9" t="str">
        <f>IF(A515="","","W"&amp;(INT((A515-Lists!$B$2)/7)+1))</f>
        <v/>
      </c>
      <c r="C515" s="10"/>
      <c r="D515" s="10"/>
      <c r="E515" s="9" t="str">
        <f t="shared" si="8"/>
        <v/>
      </c>
      <c r="F515" s="11"/>
      <c r="G515" s="10"/>
      <c r="H515" s="10"/>
      <c r="I515" s="10"/>
      <c r="J515" s="10"/>
      <c r="K515" s="12" t="str">
        <f>IFERROR(IF(J515="","",VLOOKUP(J515,Lists!$K$2:$O$61,5,FALSE)),"")</f>
        <v/>
      </c>
      <c r="L515" s="9" t="str">
        <f>IFERROR(IF(J515="","",VLOOKUP(J515,Lists!$K$2:$O$61,2,FALSE)),"")</f>
        <v/>
      </c>
      <c r="M515" s="9" t="str">
        <f>IFERROR(IF(J515="","",VLOOKUP(J515,Lists!$K$2:$O$61,3,FALSE)),"")</f>
        <v/>
      </c>
      <c r="N515" s="10"/>
      <c r="O515" s="10"/>
      <c r="P515" s="6"/>
      <c r="Q515" s="10"/>
      <c r="R515" s="6"/>
    </row>
    <row r="516" spans="1:18" x14ac:dyDescent="0.25">
      <c r="A516" s="8"/>
      <c r="B516" s="9" t="str">
        <f>IF(A516="","","W"&amp;(INT((A516-Lists!$B$2)/7)+1))</f>
        <v/>
      </c>
      <c r="C516" s="10"/>
      <c r="D516" s="10"/>
      <c r="E516" s="9" t="str">
        <f t="shared" si="8"/>
        <v/>
      </c>
      <c r="F516" s="11"/>
      <c r="G516" s="10"/>
      <c r="H516" s="10"/>
      <c r="I516" s="10"/>
      <c r="J516" s="10"/>
      <c r="K516" s="12" t="str">
        <f>IFERROR(IF(J516="","",VLOOKUP(J516,Lists!$K$2:$O$61,5,FALSE)),"")</f>
        <v/>
      </c>
      <c r="L516" s="9" t="str">
        <f>IFERROR(IF(J516="","",VLOOKUP(J516,Lists!$K$2:$O$61,2,FALSE)),"")</f>
        <v/>
      </c>
      <c r="M516" s="9" t="str">
        <f>IFERROR(IF(J516="","",VLOOKUP(J516,Lists!$K$2:$O$61,3,FALSE)),"")</f>
        <v/>
      </c>
      <c r="N516" s="10"/>
      <c r="O516" s="10"/>
      <c r="P516" s="6"/>
      <c r="Q516" s="10"/>
      <c r="R516" s="6"/>
    </row>
    <row r="517" spans="1:18" x14ac:dyDescent="0.25">
      <c r="A517" s="8"/>
      <c r="B517" s="9" t="str">
        <f>IF(A517="","","W"&amp;(INT((A517-Lists!$B$2)/7)+1))</f>
        <v/>
      </c>
      <c r="C517" s="10"/>
      <c r="D517" s="10"/>
      <c r="E517" s="9" t="str">
        <f t="shared" si="8"/>
        <v/>
      </c>
      <c r="F517" s="11"/>
      <c r="G517" s="10"/>
      <c r="H517" s="10"/>
      <c r="I517" s="10"/>
      <c r="J517" s="10"/>
      <c r="K517" s="12" t="str">
        <f>IFERROR(IF(J517="","",VLOOKUP(J517,Lists!$K$2:$O$61,5,FALSE)),"")</f>
        <v/>
      </c>
      <c r="L517" s="9" t="str">
        <f>IFERROR(IF(J517="","",VLOOKUP(J517,Lists!$K$2:$O$61,2,FALSE)),"")</f>
        <v/>
      </c>
      <c r="M517" s="9" t="str">
        <f>IFERROR(IF(J517="","",VLOOKUP(J517,Lists!$K$2:$O$61,3,FALSE)),"")</f>
        <v/>
      </c>
      <c r="N517" s="10"/>
      <c r="O517" s="10"/>
      <c r="P517" s="6"/>
      <c r="Q517" s="10"/>
      <c r="R517" s="6"/>
    </row>
    <row r="518" spans="1:18" x14ac:dyDescent="0.25">
      <c r="A518" s="8"/>
      <c r="B518" s="9" t="str">
        <f>IF(A518="","","W"&amp;(INT((A518-Lists!$B$2)/7)+1))</f>
        <v/>
      </c>
      <c r="C518" s="10"/>
      <c r="D518" s="10"/>
      <c r="E518" s="9" t="str">
        <f t="shared" si="8"/>
        <v/>
      </c>
      <c r="F518" s="11"/>
      <c r="G518" s="10"/>
      <c r="H518" s="10"/>
      <c r="I518" s="10"/>
      <c r="J518" s="10"/>
      <c r="K518" s="12" t="str">
        <f>IFERROR(IF(J518="","",VLOOKUP(J518,Lists!$K$2:$O$61,5,FALSE)),"")</f>
        <v/>
      </c>
      <c r="L518" s="9" t="str">
        <f>IFERROR(IF(J518="","",VLOOKUP(J518,Lists!$K$2:$O$61,2,FALSE)),"")</f>
        <v/>
      </c>
      <c r="M518" s="9" t="str">
        <f>IFERROR(IF(J518="","",VLOOKUP(J518,Lists!$K$2:$O$61,3,FALSE)),"")</f>
        <v/>
      </c>
      <c r="N518" s="10"/>
      <c r="O518" s="10"/>
      <c r="P518" s="6"/>
      <c r="Q518" s="10"/>
      <c r="R518" s="6"/>
    </row>
    <row r="519" spans="1:18" x14ac:dyDescent="0.25">
      <c r="A519" s="8"/>
      <c r="B519" s="9" t="str">
        <f>IF(A519="","","W"&amp;(INT((A519-Lists!$B$2)/7)+1))</f>
        <v/>
      </c>
      <c r="C519" s="10"/>
      <c r="D519" s="10"/>
      <c r="E519" s="9" t="str">
        <f t="shared" si="8"/>
        <v/>
      </c>
      <c r="F519" s="11"/>
      <c r="G519" s="10"/>
      <c r="H519" s="10"/>
      <c r="I519" s="10"/>
      <c r="J519" s="10"/>
      <c r="K519" s="12" t="str">
        <f>IFERROR(IF(J519="","",VLOOKUP(J519,Lists!$K$2:$O$61,5,FALSE)),"")</f>
        <v/>
      </c>
      <c r="L519" s="9" t="str">
        <f>IFERROR(IF(J519="","",VLOOKUP(J519,Lists!$K$2:$O$61,2,FALSE)),"")</f>
        <v/>
      </c>
      <c r="M519" s="9" t="str">
        <f>IFERROR(IF(J519="","",VLOOKUP(J519,Lists!$K$2:$O$61,3,FALSE)),"")</f>
        <v/>
      </c>
      <c r="N519" s="10"/>
      <c r="O519" s="10"/>
      <c r="P519" s="6"/>
      <c r="Q519" s="10"/>
      <c r="R519" s="6"/>
    </row>
    <row r="520" spans="1:18" x14ac:dyDescent="0.25">
      <c r="A520" s="8"/>
      <c r="B520" s="9" t="str">
        <f>IF(A520="","","W"&amp;(INT((A520-Lists!$B$2)/7)+1))</f>
        <v/>
      </c>
      <c r="C520" s="10"/>
      <c r="D520" s="10"/>
      <c r="E520" s="9" t="str">
        <f t="shared" si="8"/>
        <v/>
      </c>
      <c r="F520" s="11"/>
      <c r="G520" s="10"/>
      <c r="H520" s="10"/>
      <c r="I520" s="10"/>
      <c r="J520" s="10"/>
      <c r="K520" s="12" t="str">
        <f>IFERROR(IF(J520="","",VLOOKUP(J520,Lists!$K$2:$O$61,5,FALSE)),"")</f>
        <v/>
      </c>
      <c r="L520" s="9" t="str">
        <f>IFERROR(IF(J520="","",VLOOKUP(J520,Lists!$K$2:$O$61,2,FALSE)),"")</f>
        <v/>
      </c>
      <c r="M520" s="9" t="str">
        <f>IFERROR(IF(J520="","",VLOOKUP(J520,Lists!$K$2:$O$61,3,FALSE)),"")</f>
        <v/>
      </c>
      <c r="N520" s="10"/>
      <c r="O520" s="10"/>
      <c r="P520" s="6"/>
      <c r="Q520" s="10"/>
      <c r="R520" s="6"/>
    </row>
    <row r="521" spans="1:18" x14ac:dyDescent="0.25">
      <c r="A521" s="8"/>
      <c r="B521" s="9" t="str">
        <f>IF(A521="","","W"&amp;(INT((A521-Lists!$B$2)/7)+1))</f>
        <v/>
      </c>
      <c r="C521" s="10"/>
      <c r="D521" s="10"/>
      <c r="E521" s="9" t="str">
        <f t="shared" si="8"/>
        <v/>
      </c>
      <c r="F521" s="11"/>
      <c r="G521" s="10"/>
      <c r="H521" s="10"/>
      <c r="I521" s="10"/>
      <c r="J521" s="10"/>
      <c r="K521" s="12" t="str">
        <f>IFERROR(IF(J521="","",VLOOKUP(J521,Lists!$K$2:$O$61,5,FALSE)),"")</f>
        <v/>
      </c>
      <c r="L521" s="9" t="str">
        <f>IFERROR(IF(J521="","",VLOOKUP(J521,Lists!$K$2:$O$61,2,FALSE)),"")</f>
        <v/>
      </c>
      <c r="M521" s="9" t="str">
        <f>IFERROR(IF(J521="","",VLOOKUP(J521,Lists!$K$2:$O$61,3,FALSE)),"")</f>
        <v/>
      </c>
      <c r="N521" s="10"/>
      <c r="O521" s="10"/>
      <c r="P521" s="6"/>
      <c r="Q521" s="10"/>
      <c r="R521" s="6"/>
    </row>
    <row r="522" spans="1:18" x14ac:dyDescent="0.25">
      <c r="A522" s="8"/>
      <c r="B522" s="9" t="str">
        <f>IF(A522="","","W"&amp;(INT((A522-Lists!$B$2)/7)+1))</f>
        <v/>
      </c>
      <c r="C522" s="10"/>
      <c r="D522" s="10"/>
      <c r="E522" s="9" t="str">
        <f t="shared" si="8"/>
        <v/>
      </c>
      <c r="F522" s="11"/>
      <c r="G522" s="10"/>
      <c r="H522" s="10"/>
      <c r="I522" s="10"/>
      <c r="J522" s="10"/>
      <c r="K522" s="12" t="str">
        <f>IFERROR(IF(J522="","",VLOOKUP(J522,Lists!$K$2:$O$61,5,FALSE)),"")</f>
        <v/>
      </c>
      <c r="L522" s="9" t="str">
        <f>IFERROR(IF(J522="","",VLOOKUP(J522,Lists!$K$2:$O$61,2,FALSE)),"")</f>
        <v/>
      </c>
      <c r="M522" s="9" t="str">
        <f>IFERROR(IF(J522="","",VLOOKUP(J522,Lists!$K$2:$O$61,3,FALSE)),"")</f>
        <v/>
      </c>
      <c r="N522" s="10"/>
      <c r="O522" s="10"/>
      <c r="P522" s="6"/>
      <c r="Q522" s="10"/>
      <c r="R522" s="6"/>
    </row>
    <row r="523" spans="1:18" x14ac:dyDescent="0.25">
      <c r="A523" s="8"/>
      <c r="B523" s="9" t="str">
        <f>IF(A523="","","W"&amp;(INT((A523-Lists!$B$2)/7)+1))</f>
        <v/>
      </c>
      <c r="C523" s="10"/>
      <c r="D523" s="10"/>
      <c r="E523" s="9" t="str">
        <f t="shared" si="8"/>
        <v/>
      </c>
      <c r="F523" s="11"/>
      <c r="G523" s="10"/>
      <c r="H523" s="10"/>
      <c r="I523" s="10"/>
      <c r="J523" s="10"/>
      <c r="K523" s="12" t="str">
        <f>IFERROR(IF(J523="","",VLOOKUP(J523,Lists!$K$2:$O$61,5,FALSE)),"")</f>
        <v/>
      </c>
      <c r="L523" s="9" t="str">
        <f>IFERROR(IF(J523="","",VLOOKUP(J523,Lists!$K$2:$O$61,2,FALSE)),"")</f>
        <v/>
      </c>
      <c r="M523" s="9" t="str">
        <f>IFERROR(IF(J523="","",VLOOKUP(J523,Lists!$K$2:$O$61,3,FALSE)),"")</f>
        <v/>
      </c>
      <c r="N523" s="10"/>
      <c r="O523" s="10"/>
      <c r="P523" s="6"/>
      <c r="Q523" s="10"/>
      <c r="R523" s="6"/>
    </row>
    <row r="524" spans="1:18" x14ac:dyDescent="0.25">
      <c r="A524" s="8"/>
      <c r="B524" s="9" t="str">
        <f>IF(A524="","","W"&amp;(INT((A524-Lists!$B$2)/7)+1))</f>
        <v/>
      </c>
      <c r="C524" s="10"/>
      <c r="D524" s="10"/>
      <c r="E524" s="9" t="str">
        <f t="shared" si="8"/>
        <v/>
      </c>
      <c r="F524" s="11"/>
      <c r="G524" s="10"/>
      <c r="H524" s="10"/>
      <c r="I524" s="10"/>
      <c r="J524" s="10"/>
      <c r="K524" s="12" t="str">
        <f>IFERROR(IF(J524="","",VLOOKUP(J524,Lists!$K$2:$O$61,5,FALSE)),"")</f>
        <v/>
      </c>
      <c r="L524" s="9" t="str">
        <f>IFERROR(IF(J524="","",VLOOKUP(J524,Lists!$K$2:$O$61,2,FALSE)),"")</f>
        <v/>
      </c>
      <c r="M524" s="9" t="str">
        <f>IFERROR(IF(J524="","",VLOOKUP(J524,Lists!$K$2:$O$61,3,FALSE)),"")</f>
        <v/>
      </c>
      <c r="N524" s="10"/>
      <c r="O524" s="10"/>
      <c r="P524" s="6"/>
      <c r="Q524" s="10"/>
      <c r="R524" s="6"/>
    </row>
    <row r="525" spans="1:18" x14ac:dyDescent="0.25">
      <c r="A525" s="8"/>
      <c r="B525" s="9" t="str">
        <f>IF(A525="","","W"&amp;(INT((A525-Lists!$B$2)/7)+1))</f>
        <v/>
      </c>
      <c r="C525" s="10"/>
      <c r="D525" s="10"/>
      <c r="E525" s="9" t="str">
        <f t="shared" si="8"/>
        <v/>
      </c>
      <c r="F525" s="11"/>
      <c r="G525" s="10"/>
      <c r="H525" s="10"/>
      <c r="I525" s="10"/>
      <c r="J525" s="10"/>
      <c r="K525" s="12" t="str">
        <f>IFERROR(IF(J525="","",VLOOKUP(J525,Lists!$K$2:$O$61,5,FALSE)),"")</f>
        <v/>
      </c>
      <c r="L525" s="9" t="str">
        <f>IFERROR(IF(J525="","",VLOOKUP(J525,Lists!$K$2:$O$61,2,FALSE)),"")</f>
        <v/>
      </c>
      <c r="M525" s="9" t="str">
        <f>IFERROR(IF(J525="","",VLOOKUP(J525,Lists!$K$2:$O$61,3,FALSE)),"")</f>
        <v/>
      </c>
      <c r="N525" s="10"/>
      <c r="O525" s="10"/>
      <c r="P525" s="6"/>
      <c r="Q525" s="10"/>
      <c r="R525" s="6"/>
    </row>
    <row r="526" spans="1:18" x14ac:dyDescent="0.25">
      <c r="A526" s="8"/>
      <c r="B526" s="9" t="str">
        <f>IF(A526="","","W"&amp;(INT((A526-Lists!$B$2)/7)+1))</f>
        <v/>
      </c>
      <c r="C526" s="10"/>
      <c r="D526" s="10"/>
      <c r="E526" s="9" t="str">
        <f t="shared" si="8"/>
        <v/>
      </c>
      <c r="F526" s="11"/>
      <c r="G526" s="10"/>
      <c r="H526" s="10"/>
      <c r="I526" s="10"/>
      <c r="J526" s="10"/>
      <c r="K526" s="12" t="str">
        <f>IFERROR(IF(J526="","",VLOOKUP(J526,Lists!$K$2:$O$61,5,FALSE)),"")</f>
        <v/>
      </c>
      <c r="L526" s="9" t="str">
        <f>IFERROR(IF(J526="","",VLOOKUP(J526,Lists!$K$2:$O$61,2,FALSE)),"")</f>
        <v/>
      </c>
      <c r="M526" s="9" t="str">
        <f>IFERROR(IF(J526="","",VLOOKUP(J526,Lists!$K$2:$O$61,3,FALSE)),"")</f>
        <v/>
      </c>
      <c r="N526" s="10"/>
      <c r="O526" s="10"/>
      <c r="P526" s="6"/>
      <c r="Q526" s="10"/>
      <c r="R526" s="6"/>
    </row>
    <row r="527" spans="1:18" x14ac:dyDescent="0.25">
      <c r="A527" s="8"/>
      <c r="B527" s="9" t="str">
        <f>IF(A527="","","W"&amp;(INT((A527-Lists!$B$2)/7)+1))</f>
        <v/>
      </c>
      <c r="C527" s="10"/>
      <c r="D527" s="10"/>
      <c r="E527" s="9" t="str">
        <f t="shared" si="8"/>
        <v/>
      </c>
      <c r="F527" s="11"/>
      <c r="G527" s="10"/>
      <c r="H527" s="10"/>
      <c r="I527" s="10"/>
      <c r="J527" s="10"/>
      <c r="K527" s="12" t="str">
        <f>IFERROR(IF(J527="","",VLOOKUP(J527,Lists!$K$2:$O$61,5,FALSE)),"")</f>
        <v/>
      </c>
      <c r="L527" s="9" t="str">
        <f>IFERROR(IF(J527="","",VLOOKUP(J527,Lists!$K$2:$O$61,2,FALSE)),"")</f>
        <v/>
      </c>
      <c r="M527" s="9" t="str">
        <f>IFERROR(IF(J527="","",VLOOKUP(J527,Lists!$K$2:$O$61,3,FALSE)),"")</f>
        <v/>
      </c>
      <c r="N527" s="10"/>
      <c r="O527" s="10"/>
      <c r="P527" s="6"/>
      <c r="Q527" s="10"/>
      <c r="R527" s="6"/>
    </row>
    <row r="528" spans="1:18" x14ac:dyDescent="0.25">
      <c r="A528" s="8"/>
      <c r="B528" s="9" t="str">
        <f>IF(A528="","","W"&amp;(INT((A528-Lists!$B$2)/7)+1))</f>
        <v/>
      </c>
      <c r="C528" s="10"/>
      <c r="D528" s="10"/>
      <c r="E528" s="9" t="str">
        <f t="shared" si="8"/>
        <v/>
      </c>
      <c r="F528" s="11"/>
      <c r="G528" s="10"/>
      <c r="H528" s="10"/>
      <c r="I528" s="10"/>
      <c r="J528" s="10"/>
      <c r="K528" s="12" t="str">
        <f>IFERROR(IF(J528="","",VLOOKUP(J528,Lists!$K$2:$O$61,5,FALSE)),"")</f>
        <v/>
      </c>
      <c r="L528" s="9" t="str">
        <f>IFERROR(IF(J528="","",VLOOKUP(J528,Lists!$K$2:$O$61,2,FALSE)),"")</f>
        <v/>
      </c>
      <c r="M528" s="9" t="str">
        <f>IFERROR(IF(J528="","",VLOOKUP(J528,Lists!$K$2:$O$61,3,FALSE)),"")</f>
        <v/>
      </c>
      <c r="N528" s="10"/>
      <c r="O528" s="10"/>
      <c r="P528" s="6"/>
      <c r="Q528" s="10"/>
      <c r="R528" s="6"/>
    </row>
    <row r="529" spans="1:18" x14ac:dyDescent="0.25">
      <c r="A529" s="8"/>
      <c r="B529" s="9" t="str">
        <f>IF(A529="","","W"&amp;(INT((A529-Lists!$B$2)/7)+1))</f>
        <v/>
      </c>
      <c r="C529" s="10"/>
      <c r="D529" s="10"/>
      <c r="E529" s="9" t="str">
        <f t="shared" si="8"/>
        <v/>
      </c>
      <c r="F529" s="11"/>
      <c r="G529" s="10"/>
      <c r="H529" s="10"/>
      <c r="I529" s="10"/>
      <c r="J529" s="10"/>
      <c r="K529" s="12" t="str">
        <f>IFERROR(IF(J529="","",VLOOKUP(J529,Lists!$K$2:$O$61,5,FALSE)),"")</f>
        <v/>
      </c>
      <c r="L529" s="9" t="str">
        <f>IFERROR(IF(J529="","",VLOOKUP(J529,Lists!$K$2:$O$61,2,FALSE)),"")</f>
        <v/>
      </c>
      <c r="M529" s="9" t="str">
        <f>IFERROR(IF(J529="","",VLOOKUP(J529,Lists!$K$2:$O$61,3,FALSE)),"")</f>
        <v/>
      </c>
      <c r="N529" s="10"/>
      <c r="O529" s="10"/>
      <c r="P529" s="6"/>
      <c r="Q529" s="10"/>
      <c r="R529" s="6"/>
    </row>
    <row r="530" spans="1:18" x14ac:dyDescent="0.25">
      <c r="A530" s="8"/>
      <c r="B530" s="9" t="str">
        <f>IF(A530="","","W"&amp;(INT((A530-Lists!$B$2)/7)+1))</f>
        <v/>
      </c>
      <c r="C530" s="10"/>
      <c r="D530" s="10"/>
      <c r="E530" s="9" t="str">
        <f t="shared" si="8"/>
        <v/>
      </c>
      <c r="F530" s="11"/>
      <c r="G530" s="10"/>
      <c r="H530" s="10"/>
      <c r="I530" s="10"/>
      <c r="J530" s="10"/>
      <c r="K530" s="12" t="str">
        <f>IFERROR(IF(J530="","",VLOOKUP(J530,Lists!$K$2:$O$61,5,FALSE)),"")</f>
        <v/>
      </c>
      <c r="L530" s="9" t="str">
        <f>IFERROR(IF(J530="","",VLOOKUP(J530,Lists!$K$2:$O$61,2,FALSE)),"")</f>
        <v/>
      </c>
      <c r="M530" s="9" t="str">
        <f>IFERROR(IF(J530="","",VLOOKUP(J530,Lists!$K$2:$O$61,3,FALSE)),"")</f>
        <v/>
      </c>
      <c r="N530" s="10"/>
      <c r="O530" s="10"/>
      <c r="P530" s="6"/>
      <c r="Q530" s="10"/>
      <c r="R530" s="6"/>
    </row>
    <row r="531" spans="1:18" x14ac:dyDescent="0.25">
      <c r="A531" s="8"/>
      <c r="B531" s="9" t="str">
        <f>IF(A531="","","W"&amp;(INT((A531-Lists!$B$2)/7)+1))</f>
        <v/>
      </c>
      <c r="C531" s="10"/>
      <c r="D531" s="10"/>
      <c r="E531" s="9" t="str">
        <f t="shared" si="8"/>
        <v/>
      </c>
      <c r="F531" s="11"/>
      <c r="G531" s="10"/>
      <c r="H531" s="10"/>
      <c r="I531" s="10"/>
      <c r="J531" s="10"/>
      <c r="K531" s="12" t="str">
        <f>IFERROR(IF(J531="","",VLOOKUP(J531,Lists!$K$2:$O$61,5,FALSE)),"")</f>
        <v/>
      </c>
      <c r="L531" s="9" t="str">
        <f>IFERROR(IF(J531="","",VLOOKUP(J531,Lists!$K$2:$O$61,2,FALSE)),"")</f>
        <v/>
      </c>
      <c r="M531" s="9" t="str">
        <f>IFERROR(IF(J531="","",VLOOKUP(J531,Lists!$K$2:$O$61,3,FALSE)),"")</f>
        <v/>
      </c>
      <c r="N531" s="10"/>
      <c r="O531" s="10"/>
      <c r="P531" s="6"/>
      <c r="Q531" s="10"/>
      <c r="R531" s="6"/>
    </row>
    <row r="532" spans="1:18" x14ac:dyDescent="0.25">
      <c r="A532" s="8"/>
      <c r="B532" s="9" t="str">
        <f>IF(A532="","","W"&amp;(INT((A532-Lists!$B$2)/7)+1))</f>
        <v/>
      </c>
      <c r="C532" s="10"/>
      <c r="D532" s="10"/>
      <c r="E532" s="9" t="str">
        <f t="shared" si="8"/>
        <v/>
      </c>
      <c r="F532" s="11"/>
      <c r="G532" s="10"/>
      <c r="H532" s="10"/>
      <c r="I532" s="10"/>
      <c r="J532" s="10"/>
      <c r="K532" s="12" t="str">
        <f>IFERROR(IF(J532="","",VLOOKUP(J532,Lists!$K$2:$O$61,5,FALSE)),"")</f>
        <v/>
      </c>
      <c r="L532" s="9" t="str">
        <f>IFERROR(IF(J532="","",VLOOKUP(J532,Lists!$K$2:$O$61,2,FALSE)),"")</f>
        <v/>
      </c>
      <c r="M532" s="9" t="str">
        <f>IFERROR(IF(J532="","",VLOOKUP(J532,Lists!$K$2:$O$61,3,FALSE)),"")</f>
        <v/>
      </c>
      <c r="N532" s="10"/>
      <c r="O532" s="10"/>
      <c r="P532" s="6"/>
      <c r="Q532" s="10"/>
      <c r="R532" s="6"/>
    </row>
    <row r="533" spans="1:18" x14ac:dyDescent="0.25">
      <c r="A533" s="8"/>
      <c r="B533" s="9" t="str">
        <f>IF(A533="","","W"&amp;(INT((A533-Lists!$B$2)/7)+1))</f>
        <v/>
      </c>
      <c r="C533" s="10"/>
      <c r="D533" s="10"/>
      <c r="E533" s="9" t="str">
        <f t="shared" si="8"/>
        <v/>
      </c>
      <c r="F533" s="11"/>
      <c r="G533" s="10"/>
      <c r="H533" s="10"/>
      <c r="I533" s="10"/>
      <c r="J533" s="10"/>
      <c r="K533" s="12" t="str">
        <f>IFERROR(IF(J533="","",VLOOKUP(J533,Lists!$K$2:$O$61,5,FALSE)),"")</f>
        <v/>
      </c>
      <c r="L533" s="9" t="str">
        <f>IFERROR(IF(J533="","",VLOOKUP(J533,Lists!$K$2:$O$61,2,FALSE)),"")</f>
        <v/>
      </c>
      <c r="M533" s="9" t="str">
        <f>IFERROR(IF(J533="","",VLOOKUP(J533,Lists!$K$2:$O$61,3,FALSE)),"")</f>
        <v/>
      </c>
      <c r="N533" s="10"/>
      <c r="O533" s="10"/>
      <c r="P533" s="6"/>
      <c r="Q533" s="10"/>
      <c r="R533" s="6"/>
    </row>
    <row r="534" spans="1:18" x14ac:dyDescent="0.25">
      <c r="A534" s="8"/>
      <c r="B534" s="9" t="str">
        <f>IF(A534="","","W"&amp;(INT((A534-Lists!$B$2)/7)+1))</f>
        <v/>
      </c>
      <c r="C534" s="10"/>
      <c r="D534" s="10"/>
      <c r="E534" s="9" t="str">
        <f t="shared" si="8"/>
        <v/>
      </c>
      <c r="F534" s="11"/>
      <c r="G534" s="10"/>
      <c r="H534" s="10"/>
      <c r="I534" s="10"/>
      <c r="J534" s="10"/>
      <c r="K534" s="12" t="str">
        <f>IFERROR(IF(J534="","",VLOOKUP(J534,Lists!$K$2:$O$61,5,FALSE)),"")</f>
        <v/>
      </c>
      <c r="L534" s="9" t="str">
        <f>IFERROR(IF(J534="","",VLOOKUP(J534,Lists!$K$2:$O$61,2,FALSE)),"")</f>
        <v/>
      </c>
      <c r="M534" s="9" t="str">
        <f>IFERROR(IF(J534="","",VLOOKUP(J534,Lists!$K$2:$O$61,3,FALSE)),"")</f>
        <v/>
      </c>
      <c r="N534" s="10"/>
      <c r="O534" s="10"/>
      <c r="P534" s="6"/>
      <c r="Q534" s="10"/>
      <c r="R534" s="6"/>
    </row>
    <row r="535" spans="1:18" x14ac:dyDescent="0.25">
      <c r="A535" s="8"/>
      <c r="B535" s="9" t="str">
        <f>IF(A535="","","W"&amp;(INT((A535-Lists!$B$2)/7)+1))</f>
        <v/>
      </c>
      <c r="C535" s="10"/>
      <c r="D535" s="10"/>
      <c r="E535" s="9" t="str">
        <f t="shared" si="8"/>
        <v/>
      </c>
      <c r="F535" s="11"/>
      <c r="G535" s="10"/>
      <c r="H535" s="10"/>
      <c r="I535" s="10"/>
      <c r="J535" s="10"/>
      <c r="K535" s="12" t="str">
        <f>IFERROR(IF(J535="","",VLOOKUP(J535,Lists!$K$2:$O$61,5,FALSE)),"")</f>
        <v/>
      </c>
      <c r="L535" s="9" t="str">
        <f>IFERROR(IF(J535="","",VLOOKUP(J535,Lists!$K$2:$O$61,2,FALSE)),"")</f>
        <v/>
      </c>
      <c r="M535" s="9" t="str">
        <f>IFERROR(IF(J535="","",VLOOKUP(J535,Lists!$K$2:$O$61,3,FALSE)),"")</f>
        <v/>
      </c>
      <c r="N535" s="10"/>
      <c r="O535" s="10"/>
      <c r="P535" s="6"/>
      <c r="Q535" s="10"/>
      <c r="R535" s="6"/>
    </row>
    <row r="536" spans="1:18" x14ac:dyDescent="0.25">
      <c r="A536" s="8"/>
      <c r="B536" s="9" t="str">
        <f>IF(A536="","","W"&amp;(INT((A536-Lists!$B$2)/7)+1))</f>
        <v/>
      </c>
      <c r="C536" s="10"/>
      <c r="D536" s="10"/>
      <c r="E536" s="9" t="str">
        <f t="shared" si="8"/>
        <v/>
      </c>
      <c r="F536" s="11"/>
      <c r="G536" s="10"/>
      <c r="H536" s="10"/>
      <c r="I536" s="10"/>
      <c r="J536" s="10"/>
      <c r="K536" s="12" t="str">
        <f>IFERROR(IF(J536="","",VLOOKUP(J536,Lists!$K$2:$O$61,5,FALSE)),"")</f>
        <v/>
      </c>
      <c r="L536" s="9" t="str">
        <f>IFERROR(IF(J536="","",VLOOKUP(J536,Lists!$K$2:$O$61,2,FALSE)),"")</f>
        <v/>
      </c>
      <c r="M536" s="9" t="str">
        <f>IFERROR(IF(J536="","",VLOOKUP(J536,Lists!$K$2:$O$61,3,FALSE)),"")</f>
        <v/>
      </c>
      <c r="N536" s="10"/>
      <c r="O536" s="10"/>
      <c r="P536" s="6"/>
      <c r="Q536" s="10"/>
      <c r="R536" s="6"/>
    </row>
    <row r="537" spans="1:18" x14ac:dyDescent="0.25">
      <c r="A537" s="8"/>
      <c r="B537" s="9" t="str">
        <f>IF(A537="","","W"&amp;(INT((A537-Lists!$B$2)/7)+1))</f>
        <v/>
      </c>
      <c r="C537" s="10"/>
      <c r="D537" s="10"/>
      <c r="E537" s="9" t="str">
        <f t="shared" si="8"/>
        <v/>
      </c>
      <c r="F537" s="11"/>
      <c r="G537" s="10"/>
      <c r="H537" s="10"/>
      <c r="I537" s="10"/>
      <c r="J537" s="10"/>
      <c r="K537" s="12" t="str">
        <f>IFERROR(IF(J537="","",VLOOKUP(J537,Lists!$K$2:$O$61,5,FALSE)),"")</f>
        <v/>
      </c>
      <c r="L537" s="9" t="str">
        <f>IFERROR(IF(J537="","",VLOOKUP(J537,Lists!$K$2:$O$61,2,FALSE)),"")</f>
        <v/>
      </c>
      <c r="M537" s="9" t="str">
        <f>IFERROR(IF(J537="","",VLOOKUP(J537,Lists!$K$2:$O$61,3,FALSE)),"")</f>
        <v/>
      </c>
      <c r="N537" s="10"/>
      <c r="O537" s="10"/>
      <c r="P537" s="6"/>
      <c r="Q537" s="10"/>
      <c r="R537" s="6"/>
    </row>
    <row r="538" spans="1:18" x14ac:dyDescent="0.25">
      <c r="A538" s="8"/>
      <c r="B538" s="9" t="str">
        <f>IF(A538="","","W"&amp;(INT((A538-Lists!$B$2)/7)+1))</f>
        <v/>
      </c>
      <c r="C538" s="10"/>
      <c r="D538" s="10"/>
      <c r="E538" s="9" t="str">
        <f t="shared" si="8"/>
        <v/>
      </c>
      <c r="F538" s="11"/>
      <c r="G538" s="10"/>
      <c r="H538" s="10"/>
      <c r="I538" s="10"/>
      <c r="J538" s="10"/>
      <c r="K538" s="12" t="str">
        <f>IFERROR(IF(J538="","",VLOOKUP(J538,Lists!$K$2:$O$61,5,FALSE)),"")</f>
        <v/>
      </c>
      <c r="L538" s="9" t="str">
        <f>IFERROR(IF(J538="","",VLOOKUP(J538,Lists!$K$2:$O$61,2,FALSE)),"")</f>
        <v/>
      </c>
      <c r="M538" s="9" t="str">
        <f>IFERROR(IF(J538="","",VLOOKUP(J538,Lists!$K$2:$O$61,3,FALSE)),"")</f>
        <v/>
      </c>
      <c r="N538" s="10"/>
      <c r="O538" s="10"/>
      <c r="P538" s="6"/>
      <c r="Q538" s="10"/>
      <c r="R538" s="6"/>
    </row>
    <row r="539" spans="1:18" x14ac:dyDescent="0.25">
      <c r="A539" s="8"/>
      <c r="B539" s="9" t="str">
        <f>IF(A539="","","W"&amp;(INT((A539-Lists!$B$2)/7)+1))</f>
        <v/>
      </c>
      <c r="C539" s="10"/>
      <c r="D539" s="10"/>
      <c r="E539" s="9" t="str">
        <f t="shared" si="8"/>
        <v/>
      </c>
      <c r="F539" s="11"/>
      <c r="G539" s="10"/>
      <c r="H539" s="10"/>
      <c r="I539" s="10"/>
      <c r="J539" s="10"/>
      <c r="K539" s="12" t="str">
        <f>IFERROR(IF(J539="","",VLOOKUP(J539,Lists!$K$2:$O$61,5,FALSE)),"")</f>
        <v/>
      </c>
      <c r="L539" s="9" t="str">
        <f>IFERROR(IF(J539="","",VLOOKUP(J539,Lists!$K$2:$O$61,2,FALSE)),"")</f>
        <v/>
      </c>
      <c r="M539" s="9" t="str">
        <f>IFERROR(IF(J539="","",VLOOKUP(J539,Lists!$K$2:$O$61,3,FALSE)),"")</f>
        <v/>
      </c>
      <c r="N539" s="10"/>
      <c r="O539" s="10"/>
      <c r="P539" s="6"/>
      <c r="Q539" s="10"/>
      <c r="R539" s="6"/>
    </row>
    <row r="540" spans="1:18" x14ac:dyDescent="0.25">
      <c r="A540" s="8"/>
      <c r="B540" s="9" t="str">
        <f>IF(A540="","","W"&amp;(INT((A540-Lists!$B$2)/7)+1))</f>
        <v/>
      </c>
      <c r="C540" s="10"/>
      <c r="D540" s="10"/>
      <c r="E540" s="9" t="str">
        <f t="shared" si="8"/>
        <v/>
      </c>
      <c r="F540" s="11"/>
      <c r="G540" s="10"/>
      <c r="H540" s="10"/>
      <c r="I540" s="10"/>
      <c r="J540" s="10"/>
      <c r="K540" s="12" t="str">
        <f>IFERROR(IF(J540="","",VLOOKUP(J540,Lists!$K$2:$O$61,5,FALSE)),"")</f>
        <v/>
      </c>
      <c r="L540" s="9" t="str">
        <f>IFERROR(IF(J540="","",VLOOKUP(J540,Lists!$K$2:$O$61,2,FALSE)),"")</f>
        <v/>
      </c>
      <c r="M540" s="9" t="str">
        <f>IFERROR(IF(J540="","",VLOOKUP(J540,Lists!$K$2:$O$61,3,FALSE)),"")</f>
        <v/>
      </c>
      <c r="N540" s="10"/>
      <c r="O540" s="10"/>
      <c r="P540" s="6"/>
      <c r="Q540" s="10"/>
      <c r="R540" s="6"/>
    </row>
    <row r="541" spans="1:18" x14ac:dyDescent="0.25">
      <c r="A541" s="8"/>
      <c r="B541" s="9" t="str">
        <f>IF(A541="","","W"&amp;(INT((A541-Lists!$B$2)/7)+1))</f>
        <v/>
      </c>
      <c r="C541" s="10"/>
      <c r="D541" s="10"/>
      <c r="E541" s="9" t="str">
        <f t="shared" si="8"/>
        <v/>
      </c>
      <c r="F541" s="11"/>
      <c r="G541" s="10"/>
      <c r="H541" s="10"/>
      <c r="I541" s="10"/>
      <c r="J541" s="10"/>
      <c r="K541" s="12" t="str">
        <f>IFERROR(IF(J541="","",VLOOKUP(J541,Lists!$K$2:$O$61,5,FALSE)),"")</f>
        <v/>
      </c>
      <c r="L541" s="9" t="str">
        <f>IFERROR(IF(J541="","",VLOOKUP(J541,Lists!$K$2:$O$61,2,FALSE)),"")</f>
        <v/>
      </c>
      <c r="M541" s="9" t="str">
        <f>IFERROR(IF(J541="","",VLOOKUP(J541,Lists!$K$2:$O$61,3,FALSE)),"")</f>
        <v/>
      </c>
      <c r="N541" s="10"/>
      <c r="O541" s="10"/>
      <c r="P541" s="6"/>
      <c r="Q541" s="10"/>
      <c r="R541" s="6"/>
    </row>
    <row r="542" spans="1:18" x14ac:dyDescent="0.25">
      <c r="A542" s="8"/>
      <c r="B542" s="9" t="str">
        <f>IF(A542="","","W"&amp;(INT((A542-Lists!$B$2)/7)+1))</f>
        <v/>
      </c>
      <c r="C542" s="10"/>
      <c r="D542" s="10"/>
      <c r="E542" s="9" t="str">
        <f t="shared" si="8"/>
        <v/>
      </c>
      <c r="F542" s="11"/>
      <c r="G542" s="10"/>
      <c r="H542" s="10"/>
      <c r="I542" s="10"/>
      <c r="J542" s="10"/>
      <c r="K542" s="12" t="str">
        <f>IFERROR(IF(J542="","",VLOOKUP(J542,Lists!$K$2:$O$61,5,FALSE)),"")</f>
        <v/>
      </c>
      <c r="L542" s="9" t="str">
        <f>IFERROR(IF(J542="","",VLOOKUP(J542,Lists!$K$2:$O$61,2,FALSE)),"")</f>
        <v/>
      </c>
      <c r="M542" s="9" t="str">
        <f>IFERROR(IF(J542="","",VLOOKUP(J542,Lists!$K$2:$O$61,3,FALSE)),"")</f>
        <v/>
      </c>
      <c r="N542" s="10"/>
      <c r="O542" s="10"/>
      <c r="P542" s="6"/>
      <c r="Q542" s="10"/>
      <c r="R542" s="6"/>
    </row>
    <row r="543" spans="1:18" x14ac:dyDescent="0.25">
      <c r="A543" s="8"/>
      <c r="B543" s="9" t="str">
        <f>IF(A543="","","W"&amp;(INT((A543-Lists!$B$2)/7)+1))</f>
        <v/>
      </c>
      <c r="C543" s="10"/>
      <c r="D543" s="10"/>
      <c r="E543" s="9" t="str">
        <f t="shared" si="8"/>
        <v/>
      </c>
      <c r="F543" s="11"/>
      <c r="G543" s="10"/>
      <c r="H543" s="10"/>
      <c r="I543" s="10"/>
      <c r="J543" s="10"/>
      <c r="K543" s="12" t="str">
        <f>IFERROR(IF(J543="","",VLOOKUP(J543,Lists!$K$2:$O$61,5,FALSE)),"")</f>
        <v/>
      </c>
      <c r="L543" s="9" t="str">
        <f>IFERROR(IF(J543="","",VLOOKUP(J543,Lists!$K$2:$O$61,2,FALSE)),"")</f>
        <v/>
      </c>
      <c r="M543" s="9" t="str">
        <f>IFERROR(IF(J543="","",VLOOKUP(J543,Lists!$K$2:$O$61,3,FALSE)),"")</f>
        <v/>
      </c>
      <c r="N543" s="10"/>
      <c r="O543" s="10"/>
      <c r="P543" s="6"/>
      <c r="Q543" s="10"/>
      <c r="R543" s="6"/>
    </row>
    <row r="544" spans="1:18" x14ac:dyDescent="0.25">
      <c r="A544" s="8"/>
      <c r="B544" s="9" t="str">
        <f>IF(A544="","","W"&amp;(INT((A544-Lists!$B$2)/7)+1))</f>
        <v/>
      </c>
      <c r="C544" s="10"/>
      <c r="D544" s="10"/>
      <c r="E544" s="9" t="str">
        <f t="shared" si="8"/>
        <v/>
      </c>
      <c r="F544" s="11"/>
      <c r="G544" s="10"/>
      <c r="H544" s="10"/>
      <c r="I544" s="10"/>
      <c r="J544" s="10"/>
      <c r="K544" s="12" t="str">
        <f>IFERROR(IF(J544="","",VLOOKUP(J544,Lists!$K$2:$O$61,5,FALSE)),"")</f>
        <v/>
      </c>
      <c r="L544" s="9" t="str">
        <f>IFERROR(IF(J544="","",VLOOKUP(J544,Lists!$K$2:$O$61,2,FALSE)),"")</f>
        <v/>
      </c>
      <c r="M544" s="9" t="str">
        <f>IFERROR(IF(J544="","",VLOOKUP(J544,Lists!$K$2:$O$61,3,FALSE)),"")</f>
        <v/>
      </c>
      <c r="N544" s="10"/>
      <c r="O544" s="10"/>
      <c r="P544" s="6"/>
      <c r="Q544" s="10"/>
      <c r="R544" s="6"/>
    </row>
    <row r="545" spans="1:18" x14ac:dyDescent="0.25">
      <c r="A545" s="8"/>
      <c r="B545" s="9" t="str">
        <f>IF(A545="","","W"&amp;(INT((A545-Lists!$B$2)/7)+1))</f>
        <v/>
      </c>
      <c r="C545" s="10"/>
      <c r="D545" s="10"/>
      <c r="E545" s="9" t="str">
        <f t="shared" si="8"/>
        <v/>
      </c>
      <c r="F545" s="11"/>
      <c r="G545" s="10"/>
      <c r="H545" s="10"/>
      <c r="I545" s="10"/>
      <c r="J545" s="10"/>
      <c r="K545" s="12" t="str">
        <f>IFERROR(IF(J545="","",VLOOKUP(J545,Lists!$K$2:$O$61,5,FALSE)),"")</f>
        <v/>
      </c>
      <c r="L545" s="9" t="str">
        <f>IFERROR(IF(J545="","",VLOOKUP(J545,Lists!$K$2:$O$61,2,FALSE)),"")</f>
        <v/>
      </c>
      <c r="M545" s="9" t="str">
        <f>IFERROR(IF(J545="","",VLOOKUP(J545,Lists!$K$2:$O$61,3,FALSE)),"")</f>
        <v/>
      </c>
      <c r="N545" s="10"/>
      <c r="O545" s="10"/>
      <c r="P545" s="6"/>
      <c r="Q545" s="10"/>
      <c r="R545" s="6"/>
    </row>
    <row r="546" spans="1:18" x14ac:dyDescent="0.25">
      <c r="A546" s="8"/>
      <c r="B546" s="9" t="str">
        <f>IF(A546="","","W"&amp;(INT((A546-Lists!$B$2)/7)+1))</f>
        <v/>
      </c>
      <c r="C546" s="10"/>
      <c r="D546" s="10"/>
      <c r="E546" s="9" t="str">
        <f t="shared" si="8"/>
        <v/>
      </c>
      <c r="F546" s="11"/>
      <c r="G546" s="10"/>
      <c r="H546" s="10"/>
      <c r="I546" s="10"/>
      <c r="J546" s="10"/>
      <c r="K546" s="12" t="str">
        <f>IFERROR(IF(J546="","",VLOOKUP(J546,Lists!$K$2:$O$61,5,FALSE)),"")</f>
        <v/>
      </c>
      <c r="L546" s="9" t="str">
        <f>IFERROR(IF(J546="","",VLOOKUP(J546,Lists!$K$2:$O$61,2,FALSE)),"")</f>
        <v/>
      </c>
      <c r="M546" s="9" t="str">
        <f>IFERROR(IF(J546="","",VLOOKUP(J546,Lists!$K$2:$O$61,3,FALSE)),"")</f>
        <v/>
      </c>
      <c r="N546" s="10"/>
      <c r="O546" s="10"/>
      <c r="P546" s="6"/>
      <c r="Q546" s="10"/>
      <c r="R546" s="6"/>
    </row>
    <row r="547" spans="1:18" x14ac:dyDescent="0.25">
      <c r="A547" s="8"/>
      <c r="B547" s="9" t="str">
        <f>IF(A547="","","W"&amp;(INT((A547-Lists!$B$2)/7)+1))</f>
        <v/>
      </c>
      <c r="C547" s="10"/>
      <c r="D547" s="10"/>
      <c r="E547" s="9" t="str">
        <f t="shared" si="8"/>
        <v/>
      </c>
      <c r="F547" s="11"/>
      <c r="G547" s="10"/>
      <c r="H547" s="10"/>
      <c r="I547" s="10"/>
      <c r="J547" s="10"/>
      <c r="K547" s="12" t="str">
        <f>IFERROR(IF(J547="","",VLOOKUP(J547,Lists!$K$2:$O$61,5,FALSE)),"")</f>
        <v/>
      </c>
      <c r="L547" s="9" t="str">
        <f>IFERROR(IF(J547="","",VLOOKUP(J547,Lists!$K$2:$O$61,2,FALSE)),"")</f>
        <v/>
      </c>
      <c r="M547" s="9" t="str">
        <f>IFERROR(IF(J547="","",VLOOKUP(J547,Lists!$K$2:$O$61,3,FALSE)),"")</f>
        <v/>
      </c>
      <c r="N547" s="10"/>
      <c r="O547" s="10"/>
      <c r="P547" s="6"/>
      <c r="Q547" s="10"/>
      <c r="R547" s="6"/>
    </row>
    <row r="548" spans="1:18" x14ac:dyDescent="0.25">
      <c r="A548" s="8"/>
      <c r="B548" s="9" t="str">
        <f>IF(A548="","","W"&amp;(INT((A548-Lists!$B$2)/7)+1))</f>
        <v/>
      </c>
      <c r="C548" s="10"/>
      <c r="D548" s="10"/>
      <c r="E548" s="9" t="str">
        <f t="shared" si="8"/>
        <v/>
      </c>
      <c r="F548" s="11"/>
      <c r="G548" s="10"/>
      <c r="H548" s="10"/>
      <c r="I548" s="10"/>
      <c r="J548" s="10"/>
      <c r="K548" s="12" t="str">
        <f>IFERROR(IF(J548="","",VLOOKUP(J548,Lists!$K$2:$O$61,5,FALSE)),"")</f>
        <v/>
      </c>
      <c r="L548" s="9" t="str">
        <f>IFERROR(IF(J548="","",VLOOKUP(J548,Lists!$K$2:$O$61,2,FALSE)),"")</f>
        <v/>
      </c>
      <c r="M548" s="9" t="str">
        <f>IFERROR(IF(J548="","",VLOOKUP(J548,Lists!$K$2:$O$61,3,FALSE)),"")</f>
        <v/>
      </c>
      <c r="N548" s="10"/>
      <c r="O548" s="10"/>
      <c r="P548" s="6"/>
      <c r="Q548" s="10"/>
      <c r="R548" s="6"/>
    </row>
    <row r="549" spans="1:18" x14ac:dyDescent="0.25">
      <c r="A549" s="8"/>
      <c r="B549" s="9" t="str">
        <f>IF(A549="","","W"&amp;(INT((A549-Lists!$B$2)/7)+1))</f>
        <v/>
      </c>
      <c r="C549" s="10"/>
      <c r="D549" s="10"/>
      <c r="E549" s="9" t="str">
        <f t="shared" si="8"/>
        <v/>
      </c>
      <c r="F549" s="11"/>
      <c r="G549" s="10"/>
      <c r="H549" s="10"/>
      <c r="I549" s="10"/>
      <c r="J549" s="10"/>
      <c r="K549" s="12" t="str">
        <f>IFERROR(IF(J549="","",VLOOKUP(J549,Lists!$K$2:$O$61,5,FALSE)),"")</f>
        <v/>
      </c>
      <c r="L549" s="9" t="str">
        <f>IFERROR(IF(J549="","",VLOOKUP(J549,Lists!$K$2:$O$61,2,FALSE)),"")</f>
        <v/>
      </c>
      <c r="M549" s="9" t="str">
        <f>IFERROR(IF(J549="","",VLOOKUP(J549,Lists!$K$2:$O$61,3,FALSE)),"")</f>
        <v/>
      </c>
      <c r="N549" s="10"/>
      <c r="O549" s="10"/>
      <c r="P549" s="6"/>
      <c r="Q549" s="10"/>
      <c r="R549" s="6"/>
    </row>
    <row r="550" spans="1:18" x14ac:dyDescent="0.25">
      <c r="A550" s="8"/>
      <c r="B550" s="9" t="str">
        <f>IF(A550="","","W"&amp;(INT((A550-Lists!$B$2)/7)+1))</f>
        <v/>
      </c>
      <c r="C550" s="10"/>
      <c r="D550" s="10"/>
      <c r="E550" s="9" t="str">
        <f t="shared" si="8"/>
        <v/>
      </c>
      <c r="F550" s="11"/>
      <c r="G550" s="10"/>
      <c r="H550" s="10"/>
      <c r="I550" s="10"/>
      <c r="J550" s="10"/>
      <c r="K550" s="12" t="str">
        <f>IFERROR(IF(J550="","",VLOOKUP(J550,Lists!$K$2:$O$61,5,FALSE)),"")</f>
        <v/>
      </c>
      <c r="L550" s="9" t="str">
        <f>IFERROR(IF(J550="","",VLOOKUP(J550,Lists!$K$2:$O$61,2,FALSE)),"")</f>
        <v/>
      </c>
      <c r="M550" s="9" t="str">
        <f>IFERROR(IF(J550="","",VLOOKUP(J550,Lists!$K$2:$O$61,3,FALSE)),"")</f>
        <v/>
      </c>
      <c r="N550" s="10"/>
      <c r="O550" s="10"/>
      <c r="P550" s="6"/>
      <c r="Q550" s="10"/>
      <c r="R550" s="6"/>
    </row>
    <row r="551" spans="1:18" x14ac:dyDescent="0.25">
      <c r="A551" s="8"/>
      <c r="B551" s="9" t="str">
        <f>IF(A551="","","W"&amp;(INT((A551-Lists!$B$2)/7)+1))</f>
        <v/>
      </c>
      <c r="C551" s="10"/>
      <c r="D551" s="10"/>
      <c r="E551" s="9" t="str">
        <f t="shared" si="8"/>
        <v/>
      </c>
      <c r="F551" s="11"/>
      <c r="G551" s="10"/>
      <c r="H551" s="10"/>
      <c r="I551" s="10"/>
      <c r="J551" s="10"/>
      <c r="K551" s="12" t="str">
        <f>IFERROR(IF(J551="","",VLOOKUP(J551,Lists!$K$2:$O$61,5,FALSE)),"")</f>
        <v/>
      </c>
      <c r="L551" s="9" t="str">
        <f>IFERROR(IF(J551="","",VLOOKUP(J551,Lists!$K$2:$O$61,2,FALSE)),"")</f>
        <v/>
      </c>
      <c r="M551" s="9" t="str">
        <f>IFERROR(IF(J551="","",VLOOKUP(J551,Lists!$K$2:$O$61,3,FALSE)),"")</f>
        <v/>
      </c>
      <c r="N551" s="10"/>
      <c r="O551" s="10"/>
      <c r="P551" s="6"/>
      <c r="Q551" s="10"/>
      <c r="R551" s="6"/>
    </row>
    <row r="552" spans="1:18" x14ac:dyDescent="0.25">
      <c r="A552" s="8"/>
      <c r="B552" s="9" t="str">
        <f>IF(A552="","","W"&amp;(INT((A552-Lists!$B$2)/7)+1))</f>
        <v/>
      </c>
      <c r="C552" s="10"/>
      <c r="D552" s="10"/>
      <c r="E552" s="9" t="str">
        <f t="shared" si="8"/>
        <v/>
      </c>
      <c r="F552" s="11"/>
      <c r="G552" s="10"/>
      <c r="H552" s="10"/>
      <c r="I552" s="10"/>
      <c r="J552" s="10"/>
      <c r="K552" s="12" t="str">
        <f>IFERROR(IF(J552="","",VLOOKUP(J552,Lists!$K$2:$O$61,5,FALSE)),"")</f>
        <v/>
      </c>
      <c r="L552" s="9" t="str">
        <f>IFERROR(IF(J552="","",VLOOKUP(J552,Lists!$K$2:$O$61,2,FALSE)),"")</f>
        <v/>
      </c>
      <c r="M552" s="9" t="str">
        <f>IFERROR(IF(J552="","",VLOOKUP(J552,Lists!$K$2:$O$61,3,FALSE)),"")</f>
        <v/>
      </c>
      <c r="N552" s="10"/>
      <c r="O552" s="10"/>
      <c r="P552" s="6"/>
      <c r="Q552" s="10"/>
      <c r="R552" s="6"/>
    </row>
    <row r="553" spans="1:18" x14ac:dyDescent="0.25">
      <c r="A553" s="8"/>
      <c r="B553" s="9" t="str">
        <f>IF(A553="","","W"&amp;(INT((A553-Lists!$B$2)/7)+1))</f>
        <v/>
      </c>
      <c r="C553" s="10"/>
      <c r="D553" s="10"/>
      <c r="E553" s="9" t="str">
        <f t="shared" si="8"/>
        <v/>
      </c>
      <c r="F553" s="11"/>
      <c r="G553" s="10"/>
      <c r="H553" s="10"/>
      <c r="I553" s="10"/>
      <c r="J553" s="10"/>
      <c r="K553" s="12" t="str">
        <f>IFERROR(IF(J553="","",VLOOKUP(J553,Lists!$K$2:$O$61,5,FALSE)),"")</f>
        <v/>
      </c>
      <c r="L553" s="9" t="str">
        <f>IFERROR(IF(J553="","",VLOOKUP(J553,Lists!$K$2:$O$61,2,FALSE)),"")</f>
        <v/>
      </c>
      <c r="M553" s="9" t="str">
        <f>IFERROR(IF(J553="","",VLOOKUP(J553,Lists!$K$2:$O$61,3,FALSE)),"")</f>
        <v/>
      </c>
      <c r="N553" s="10"/>
      <c r="O553" s="10"/>
      <c r="P553" s="6"/>
      <c r="Q553" s="10"/>
      <c r="R553" s="6"/>
    </row>
    <row r="554" spans="1:18" x14ac:dyDescent="0.25">
      <c r="A554" s="8"/>
      <c r="B554" s="9" t="str">
        <f>IF(A554="","","W"&amp;(INT((A554-Lists!$B$2)/7)+1))</f>
        <v/>
      </c>
      <c r="C554" s="10"/>
      <c r="D554" s="10"/>
      <c r="E554" s="9" t="str">
        <f t="shared" si="8"/>
        <v/>
      </c>
      <c r="F554" s="11"/>
      <c r="G554" s="10"/>
      <c r="H554" s="10"/>
      <c r="I554" s="10"/>
      <c r="J554" s="10"/>
      <c r="K554" s="12" t="str">
        <f>IFERROR(IF(J554="","",VLOOKUP(J554,Lists!$K$2:$O$61,5,FALSE)),"")</f>
        <v/>
      </c>
      <c r="L554" s="9" t="str">
        <f>IFERROR(IF(J554="","",VLOOKUP(J554,Lists!$K$2:$O$61,2,FALSE)),"")</f>
        <v/>
      </c>
      <c r="M554" s="9" t="str">
        <f>IFERROR(IF(J554="","",VLOOKUP(J554,Lists!$K$2:$O$61,3,FALSE)),"")</f>
        <v/>
      </c>
      <c r="N554" s="10"/>
      <c r="O554" s="10"/>
      <c r="P554" s="6"/>
      <c r="Q554" s="10"/>
      <c r="R554" s="6"/>
    </row>
    <row r="555" spans="1:18" x14ac:dyDescent="0.25">
      <c r="A555" s="8"/>
      <c r="B555" s="9" t="str">
        <f>IF(A555="","","W"&amp;(INT((A555-Lists!$B$2)/7)+1))</f>
        <v/>
      </c>
      <c r="C555" s="10"/>
      <c r="D555" s="10"/>
      <c r="E555" s="9" t="str">
        <f t="shared" si="8"/>
        <v/>
      </c>
      <c r="F555" s="11"/>
      <c r="G555" s="10"/>
      <c r="H555" s="10"/>
      <c r="I555" s="10"/>
      <c r="J555" s="10"/>
      <c r="K555" s="12" t="str">
        <f>IFERROR(IF(J555="","",VLOOKUP(J555,Lists!$K$2:$O$61,5,FALSE)),"")</f>
        <v/>
      </c>
      <c r="L555" s="9" t="str">
        <f>IFERROR(IF(J555="","",VLOOKUP(J555,Lists!$K$2:$O$61,2,FALSE)),"")</f>
        <v/>
      </c>
      <c r="M555" s="9" t="str">
        <f>IFERROR(IF(J555="","",VLOOKUP(J555,Lists!$K$2:$O$61,3,FALSE)),"")</f>
        <v/>
      </c>
      <c r="N555" s="10"/>
      <c r="O555" s="10"/>
      <c r="P555" s="6"/>
      <c r="Q555" s="10"/>
      <c r="R555" s="6"/>
    </row>
    <row r="556" spans="1:18" x14ac:dyDescent="0.25">
      <c r="A556" s="8"/>
      <c r="B556" s="9" t="str">
        <f>IF(A556="","","W"&amp;(INT((A556-Lists!$B$2)/7)+1))</f>
        <v/>
      </c>
      <c r="C556" s="10"/>
      <c r="D556" s="10"/>
      <c r="E556" s="9" t="str">
        <f t="shared" si="8"/>
        <v/>
      </c>
      <c r="F556" s="11"/>
      <c r="G556" s="10"/>
      <c r="H556" s="10"/>
      <c r="I556" s="10"/>
      <c r="J556" s="10"/>
      <c r="K556" s="12" t="str">
        <f>IFERROR(IF(J556="","",VLOOKUP(J556,Lists!$K$2:$O$61,5,FALSE)),"")</f>
        <v/>
      </c>
      <c r="L556" s="9" t="str">
        <f>IFERROR(IF(J556="","",VLOOKUP(J556,Lists!$K$2:$O$61,2,FALSE)),"")</f>
        <v/>
      </c>
      <c r="M556" s="9" t="str">
        <f>IFERROR(IF(J556="","",VLOOKUP(J556,Lists!$K$2:$O$61,3,FALSE)),"")</f>
        <v/>
      </c>
      <c r="N556" s="10"/>
      <c r="O556" s="10"/>
      <c r="P556" s="6"/>
      <c r="Q556" s="10"/>
      <c r="R556" s="6"/>
    </row>
    <row r="557" spans="1:18" x14ac:dyDescent="0.25">
      <c r="A557" s="8"/>
      <c r="B557" s="9" t="str">
        <f>IF(A557="","","W"&amp;(INT((A557-Lists!$B$2)/7)+1))</f>
        <v/>
      </c>
      <c r="C557" s="10"/>
      <c r="D557" s="10"/>
      <c r="E557" s="9" t="str">
        <f t="shared" si="8"/>
        <v/>
      </c>
      <c r="F557" s="11"/>
      <c r="G557" s="10"/>
      <c r="H557" s="10"/>
      <c r="I557" s="10"/>
      <c r="J557" s="10"/>
      <c r="K557" s="12" t="str">
        <f>IFERROR(IF(J557="","",VLOOKUP(J557,Lists!$K$2:$O$61,5,FALSE)),"")</f>
        <v/>
      </c>
      <c r="L557" s="9" t="str">
        <f>IFERROR(IF(J557="","",VLOOKUP(J557,Lists!$K$2:$O$61,2,FALSE)),"")</f>
        <v/>
      </c>
      <c r="M557" s="9" t="str">
        <f>IFERROR(IF(J557="","",VLOOKUP(J557,Lists!$K$2:$O$61,3,FALSE)),"")</f>
        <v/>
      </c>
      <c r="N557" s="10"/>
      <c r="O557" s="10"/>
      <c r="P557" s="6"/>
      <c r="Q557" s="10"/>
      <c r="R557" s="6"/>
    </row>
    <row r="558" spans="1:18" x14ac:dyDescent="0.25">
      <c r="A558" s="8"/>
      <c r="B558" s="9" t="str">
        <f>IF(A558="","","W"&amp;(INT((A558-Lists!$B$2)/7)+1))</f>
        <v/>
      </c>
      <c r="C558" s="10"/>
      <c r="D558" s="10"/>
      <c r="E558" s="9" t="str">
        <f t="shared" si="8"/>
        <v/>
      </c>
      <c r="F558" s="11"/>
      <c r="G558" s="10"/>
      <c r="H558" s="10"/>
      <c r="I558" s="10"/>
      <c r="J558" s="10"/>
      <c r="K558" s="12" t="str">
        <f>IFERROR(IF(J558="","",VLOOKUP(J558,Lists!$K$2:$O$61,5,FALSE)),"")</f>
        <v/>
      </c>
      <c r="L558" s="9" t="str">
        <f>IFERROR(IF(J558="","",VLOOKUP(J558,Lists!$K$2:$O$61,2,FALSE)),"")</f>
        <v/>
      </c>
      <c r="M558" s="9" t="str">
        <f>IFERROR(IF(J558="","",VLOOKUP(J558,Lists!$K$2:$O$61,3,FALSE)),"")</f>
        <v/>
      </c>
      <c r="N558" s="10"/>
      <c r="O558" s="10"/>
      <c r="P558" s="6"/>
      <c r="Q558" s="10"/>
      <c r="R558" s="6"/>
    </row>
    <row r="559" spans="1:18" x14ac:dyDescent="0.25">
      <c r="A559" s="8"/>
      <c r="B559" s="9" t="str">
        <f>IF(A559="","","W"&amp;(INT((A559-Lists!$B$2)/7)+1))</f>
        <v/>
      </c>
      <c r="C559" s="10"/>
      <c r="D559" s="10"/>
      <c r="E559" s="9" t="str">
        <f t="shared" si="8"/>
        <v/>
      </c>
      <c r="F559" s="11"/>
      <c r="G559" s="10"/>
      <c r="H559" s="10"/>
      <c r="I559" s="10"/>
      <c r="J559" s="10"/>
      <c r="K559" s="12" t="str">
        <f>IFERROR(IF(J559="","",VLOOKUP(J559,Lists!$K$2:$O$61,5,FALSE)),"")</f>
        <v/>
      </c>
      <c r="L559" s="9" t="str">
        <f>IFERROR(IF(J559="","",VLOOKUP(J559,Lists!$K$2:$O$61,2,FALSE)),"")</f>
        <v/>
      </c>
      <c r="M559" s="9" t="str">
        <f>IFERROR(IF(J559="","",VLOOKUP(J559,Lists!$K$2:$O$61,3,FALSE)),"")</f>
        <v/>
      </c>
      <c r="N559" s="10"/>
      <c r="O559" s="10"/>
      <c r="P559" s="6"/>
      <c r="Q559" s="10"/>
      <c r="R559" s="6"/>
    </row>
    <row r="560" spans="1:18" x14ac:dyDescent="0.25">
      <c r="A560" s="8"/>
      <c r="B560" s="9" t="str">
        <f>IF(A560="","","W"&amp;(INT((A560-Lists!$B$2)/7)+1))</f>
        <v/>
      </c>
      <c r="C560" s="10"/>
      <c r="D560" s="10"/>
      <c r="E560" s="9" t="str">
        <f t="shared" si="8"/>
        <v/>
      </c>
      <c r="F560" s="11"/>
      <c r="G560" s="10"/>
      <c r="H560" s="10"/>
      <c r="I560" s="10"/>
      <c r="J560" s="10"/>
      <c r="K560" s="12" t="str">
        <f>IFERROR(IF(J560="","",VLOOKUP(J560,Lists!$K$2:$O$61,5,FALSE)),"")</f>
        <v/>
      </c>
      <c r="L560" s="9" t="str">
        <f>IFERROR(IF(J560="","",VLOOKUP(J560,Lists!$K$2:$O$61,2,FALSE)),"")</f>
        <v/>
      </c>
      <c r="M560" s="9" t="str">
        <f>IFERROR(IF(J560="","",VLOOKUP(J560,Lists!$K$2:$O$61,3,FALSE)),"")</f>
        <v/>
      </c>
      <c r="N560" s="10"/>
      <c r="O560" s="10"/>
      <c r="P560" s="6"/>
      <c r="Q560" s="10"/>
      <c r="R560" s="6"/>
    </row>
    <row r="561" spans="1:18" x14ac:dyDescent="0.25">
      <c r="A561" s="8"/>
      <c r="B561" s="9" t="str">
        <f>IF(A561="","","W"&amp;(INT((A561-Lists!$B$2)/7)+1))</f>
        <v/>
      </c>
      <c r="C561" s="10"/>
      <c r="D561" s="10"/>
      <c r="E561" s="9" t="str">
        <f t="shared" si="8"/>
        <v/>
      </c>
      <c r="F561" s="11"/>
      <c r="G561" s="10"/>
      <c r="H561" s="10"/>
      <c r="I561" s="10"/>
      <c r="J561" s="10"/>
      <c r="K561" s="12" t="str">
        <f>IFERROR(IF(J561="","",VLOOKUP(J561,Lists!$K$2:$O$61,5,FALSE)),"")</f>
        <v/>
      </c>
      <c r="L561" s="9" t="str">
        <f>IFERROR(IF(J561="","",VLOOKUP(J561,Lists!$K$2:$O$61,2,FALSE)),"")</f>
        <v/>
      </c>
      <c r="M561" s="9" t="str">
        <f>IFERROR(IF(J561="","",VLOOKUP(J561,Lists!$K$2:$O$61,3,FALSE)),"")</f>
        <v/>
      </c>
      <c r="N561" s="10"/>
      <c r="O561" s="10"/>
      <c r="P561" s="6"/>
      <c r="Q561" s="10"/>
      <c r="R561" s="6"/>
    </row>
    <row r="562" spans="1:18" x14ac:dyDescent="0.25">
      <c r="A562" s="8"/>
      <c r="B562" s="9" t="str">
        <f>IF(A562="","","W"&amp;(INT((A562-Lists!$B$2)/7)+1))</f>
        <v/>
      </c>
      <c r="C562" s="10"/>
      <c r="D562" s="10"/>
      <c r="E562" s="9" t="str">
        <f t="shared" si="8"/>
        <v/>
      </c>
      <c r="F562" s="11"/>
      <c r="G562" s="10"/>
      <c r="H562" s="10"/>
      <c r="I562" s="10"/>
      <c r="J562" s="10"/>
      <c r="K562" s="12" t="str">
        <f>IFERROR(IF(J562="","",VLOOKUP(J562,Lists!$K$2:$O$61,5,FALSE)),"")</f>
        <v/>
      </c>
      <c r="L562" s="9" t="str">
        <f>IFERROR(IF(J562="","",VLOOKUP(J562,Lists!$K$2:$O$61,2,FALSE)),"")</f>
        <v/>
      </c>
      <c r="M562" s="9" t="str">
        <f>IFERROR(IF(J562="","",VLOOKUP(J562,Lists!$K$2:$O$61,3,FALSE)),"")</f>
        <v/>
      </c>
      <c r="N562" s="10"/>
      <c r="O562" s="10"/>
      <c r="P562" s="6"/>
      <c r="Q562" s="10"/>
      <c r="R562" s="6"/>
    </row>
    <row r="563" spans="1:18" x14ac:dyDescent="0.25">
      <c r="A563" s="8"/>
      <c r="B563" s="9" t="str">
        <f>IF(A563="","","W"&amp;(INT((A563-Lists!$B$2)/7)+1))</f>
        <v/>
      </c>
      <c r="C563" s="10"/>
      <c r="D563" s="10"/>
      <c r="E563" s="9" t="str">
        <f t="shared" si="8"/>
        <v/>
      </c>
      <c r="F563" s="11"/>
      <c r="G563" s="10"/>
      <c r="H563" s="10"/>
      <c r="I563" s="10"/>
      <c r="J563" s="10"/>
      <c r="K563" s="12" t="str">
        <f>IFERROR(IF(J563="","",VLOOKUP(J563,Lists!$K$2:$O$61,5,FALSE)),"")</f>
        <v/>
      </c>
      <c r="L563" s="9" t="str">
        <f>IFERROR(IF(J563="","",VLOOKUP(J563,Lists!$K$2:$O$61,2,FALSE)),"")</f>
        <v/>
      </c>
      <c r="M563" s="9" t="str">
        <f>IFERROR(IF(J563="","",VLOOKUP(J563,Lists!$K$2:$O$61,3,FALSE)),"")</f>
        <v/>
      </c>
      <c r="N563" s="10"/>
      <c r="O563" s="10"/>
      <c r="P563" s="6"/>
      <c r="Q563" s="10"/>
      <c r="R563" s="6"/>
    </row>
    <row r="564" spans="1:18" x14ac:dyDescent="0.25">
      <c r="A564" s="8"/>
      <c r="B564" s="9" t="str">
        <f>IF(A564="","","W"&amp;(INT((A564-Lists!$B$2)/7)+1))</f>
        <v/>
      </c>
      <c r="C564" s="10"/>
      <c r="D564" s="10"/>
      <c r="E564" s="9" t="str">
        <f t="shared" si="8"/>
        <v/>
      </c>
      <c r="F564" s="11"/>
      <c r="G564" s="10"/>
      <c r="H564" s="10"/>
      <c r="I564" s="10"/>
      <c r="J564" s="10"/>
      <c r="K564" s="12" t="str">
        <f>IFERROR(IF(J564="","",VLOOKUP(J564,Lists!$K$2:$O$61,5,FALSE)),"")</f>
        <v/>
      </c>
      <c r="L564" s="9" t="str">
        <f>IFERROR(IF(J564="","",VLOOKUP(J564,Lists!$K$2:$O$61,2,FALSE)),"")</f>
        <v/>
      </c>
      <c r="M564" s="9" t="str">
        <f>IFERROR(IF(J564="","",VLOOKUP(J564,Lists!$K$2:$O$61,3,FALSE)),"")</f>
        <v/>
      </c>
      <c r="N564" s="10"/>
      <c r="O564" s="10"/>
      <c r="P564" s="6"/>
      <c r="Q564" s="10"/>
      <c r="R564" s="6"/>
    </row>
    <row r="565" spans="1:18" x14ac:dyDescent="0.25">
      <c r="A565" s="8"/>
      <c r="B565" s="9" t="str">
        <f>IF(A565="","","W"&amp;(INT((A565-Lists!$B$2)/7)+1))</f>
        <v/>
      </c>
      <c r="C565" s="10"/>
      <c r="D565" s="10"/>
      <c r="E565" s="9" t="str">
        <f t="shared" si="8"/>
        <v/>
      </c>
      <c r="F565" s="11"/>
      <c r="G565" s="10"/>
      <c r="H565" s="10"/>
      <c r="I565" s="10"/>
      <c r="J565" s="10"/>
      <c r="K565" s="12" t="str">
        <f>IFERROR(IF(J565="","",VLOOKUP(J565,Lists!$K$2:$O$61,5,FALSE)),"")</f>
        <v/>
      </c>
      <c r="L565" s="9" t="str">
        <f>IFERROR(IF(J565="","",VLOOKUP(J565,Lists!$K$2:$O$61,2,FALSE)),"")</f>
        <v/>
      </c>
      <c r="M565" s="9" t="str">
        <f>IFERROR(IF(J565="","",VLOOKUP(J565,Lists!$K$2:$O$61,3,FALSE)),"")</f>
        <v/>
      </c>
      <c r="N565" s="10"/>
      <c r="O565" s="10"/>
      <c r="P565" s="6"/>
      <c r="Q565" s="10"/>
      <c r="R565" s="6"/>
    </row>
    <row r="566" spans="1:18" x14ac:dyDescent="0.25">
      <c r="A566" s="8"/>
      <c r="B566" s="9" t="str">
        <f>IF(A566="","","W"&amp;(INT((A566-Lists!$B$2)/7)+1))</f>
        <v/>
      </c>
      <c r="C566" s="10"/>
      <c r="D566" s="10"/>
      <c r="E566" s="9" t="str">
        <f t="shared" si="8"/>
        <v/>
      </c>
      <c r="F566" s="11"/>
      <c r="G566" s="10"/>
      <c r="H566" s="10"/>
      <c r="I566" s="10"/>
      <c r="J566" s="10"/>
      <c r="K566" s="12" t="str">
        <f>IFERROR(IF(J566="","",VLOOKUP(J566,Lists!$K$2:$O$61,5,FALSE)),"")</f>
        <v/>
      </c>
      <c r="L566" s="9" t="str">
        <f>IFERROR(IF(J566="","",VLOOKUP(J566,Lists!$K$2:$O$61,2,FALSE)),"")</f>
        <v/>
      </c>
      <c r="M566" s="9" t="str">
        <f>IFERROR(IF(J566="","",VLOOKUP(J566,Lists!$K$2:$O$61,3,FALSE)),"")</f>
        <v/>
      </c>
      <c r="N566" s="10"/>
      <c r="O566" s="10"/>
      <c r="P566" s="6"/>
      <c r="Q566" s="10"/>
      <c r="R566" s="6"/>
    </row>
    <row r="567" spans="1:18" x14ac:dyDescent="0.25">
      <c r="A567" s="8"/>
      <c r="B567" s="9" t="str">
        <f>IF(A567="","","W"&amp;(INT((A567-Lists!$B$2)/7)+1))</f>
        <v/>
      </c>
      <c r="C567" s="10"/>
      <c r="D567" s="10"/>
      <c r="E567" s="9" t="str">
        <f t="shared" si="8"/>
        <v/>
      </c>
      <c r="F567" s="11"/>
      <c r="G567" s="10"/>
      <c r="H567" s="10"/>
      <c r="I567" s="10"/>
      <c r="J567" s="10"/>
      <c r="K567" s="12" t="str">
        <f>IFERROR(IF(J567="","",VLOOKUP(J567,Lists!$K$2:$O$61,5,FALSE)),"")</f>
        <v/>
      </c>
      <c r="L567" s="9" t="str">
        <f>IFERROR(IF(J567="","",VLOOKUP(J567,Lists!$K$2:$O$61,2,FALSE)),"")</f>
        <v/>
      </c>
      <c r="M567" s="9" t="str">
        <f>IFERROR(IF(J567="","",VLOOKUP(J567,Lists!$K$2:$O$61,3,FALSE)),"")</f>
        <v/>
      </c>
      <c r="N567" s="10"/>
      <c r="O567" s="10"/>
      <c r="P567" s="6"/>
      <c r="Q567" s="10"/>
      <c r="R567" s="6"/>
    </row>
    <row r="568" spans="1:18" x14ac:dyDescent="0.25">
      <c r="A568" s="8"/>
      <c r="B568" s="9" t="str">
        <f>IF(A568="","","W"&amp;(INT((A568-Lists!$B$2)/7)+1))</f>
        <v/>
      </c>
      <c r="C568" s="10"/>
      <c r="D568" s="10"/>
      <c r="E568" s="9" t="str">
        <f t="shared" si="8"/>
        <v/>
      </c>
      <c r="F568" s="11"/>
      <c r="G568" s="10"/>
      <c r="H568" s="10"/>
      <c r="I568" s="10"/>
      <c r="J568" s="10"/>
      <c r="K568" s="12" t="str">
        <f>IFERROR(IF(J568="","",VLOOKUP(J568,Lists!$K$2:$O$61,5,FALSE)),"")</f>
        <v/>
      </c>
      <c r="L568" s="9" t="str">
        <f>IFERROR(IF(J568="","",VLOOKUP(J568,Lists!$K$2:$O$61,2,FALSE)),"")</f>
        <v/>
      </c>
      <c r="M568" s="9" t="str">
        <f>IFERROR(IF(J568="","",VLOOKUP(J568,Lists!$K$2:$O$61,3,FALSE)),"")</f>
        <v/>
      </c>
      <c r="N568" s="10"/>
      <c r="O568" s="10"/>
      <c r="P568" s="6"/>
      <c r="Q568" s="10"/>
      <c r="R568" s="6"/>
    </row>
    <row r="569" spans="1:18" x14ac:dyDescent="0.25">
      <c r="A569" s="8"/>
      <c r="B569" s="9" t="str">
        <f>IF(A569="","","W"&amp;(INT((A569-Lists!$B$2)/7)+1))</f>
        <v/>
      </c>
      <c r="C569" s="10"/>
      <c r="D569" s="10"/>
      <c r="E569" s="9" t="str">
        <f t="shared" si="8"/>
        <v/>
      </c>
      <c r="F569" s="11"/>
      <c r="G569" s="10"/>
      <c r="H569" s="10"/>
      <c r="I569" s="10"/>
      <c r="J569" s="10"/>
      <c r="K569" s="12" t="str">
        <f>IFERROR(IF(J569="","",VLOOKUP(J569,Lists!$K$2:$O$61,5,FALSE)),"")</f>
        <v/>
      </c>
      <c r="L569" s="9" t="str">
        <f>IFERROR(IF(J569="","",VLOOKUP(J569,Lists!$K$2:$O$61,2,FALSE)),"")</f>
        <v/>
      </c>
      <c r="M569" s="9" t="str">
        <f>IFERROR(IF(J569="","",VLOOKUP(J569,Lists!$K$2:$O$61,3,FALSE)),"")</f>
        <v/>
      </c>
      <c r="N569" s="10"/>
      <c r="O569" s="10"/>
      <c r="P569" s="6"/>
      <c r="Q569" s="10"/>
      <c r="R569" s="6"/>
    </row>
    <row r="570" spans="1:18" x14ac:dyDescent="0.25">
      <c r="A570" s="8"/>
      <c r="B570" s="9" t="str">
        <f>IF(A570="","","W"&amp;(INT((A570-Lists!$B$2)/7)+1))</f>
        <v/>
      </c>
      <c r="C570" s="10"/>
      <c r="D570" s="10"/>
      <c r="E570" s="9" t="str">
        <f t="shared" si="8"/>
        <v/>
      </c>
      <c r="F570" s="11"/>
      <c r="G570" s="10"/>
      <c r="H570" s="10"/>
      <c r="I570" s="10"/>
      <c r="J570" s="10"/>
      <c r="K570" s="12" t="str">
        <f>IFERROR(IF(J570="","",VLOOKUP(J570,Lists!$K$2:$O$61,5,FALSE)),"")</f>
        <v/>
      </c>
      <c r="L570" s="9" t="str">
        <f>IFERROR(IF(J570="","",VLOOKUP(J570,Lists!$K$2:$O$61,2,FALSE)),"")</f>
        <v/>
      </c>
      <c r="M570" s="9" t="str">
        <f>IFERROR(IF(J570="","",VLOOKUP(J570,Lists!$K$2:$O$61,3,FALSE)),"")</f>
        <v/>
      </c>
      <c r="N570" s="10"/>
      <c r="O570" s="10"/>
      <c r="P570" s="6"/>
      <c r="Q570" s="10"/>
      <c r="R570" s="6"/>
    </row>
    <row r="571" spans="1:18" x14ac:dyDescent="0.25">
      <c r="A571" s="8"/>
      <c r="B571" s="9" t="str">
        <f>IF(A571="","","W"&amp;(INT((A571-Lists!$B$2)/7)+1))</f>
        <v/>
      </c>
      <c r="C571" s="10"/>
      <c r="D571" s="10"/>
      <c r="E571" s="9" t="str">
        <f t="shared" si="8"/>
        <v/>
      </c>
      <c r="F571" s="11"/>
      <c r="G571" s="10"/>
      <c r="H571" s="10"/>
      <c r="I571" s="10"/>
      <c r="J571" s="10"/>
      <c r="K571" s="12" t="str">
        <f>IFERROR(IF(J571="","",VLOOKUP(J571,Lists!$K$2:$O$61,5,FALSE)),"")</f>
        <v/>
      </c>
      <c r="L571" s="9" t="str">
        <f>IFERROR(IF(J571="","",VLOOKUP(J571,Lists!$K$2:$O$61,2,FALSE)),"")</f>
        <v/>
      </c>
      <c r="M571" s="9" t="str">
        <f>IFERROR(IF(J571="","",VLOOKUP(J571,Lists!$K$2:$O$61,3,FALSE)),"")</f>
        <v/>
      </c>
      <c r="N571" s="10"/>
      <c r="O571" s="10"/>
      <c r="P571" s="6"/>
      <c r="Q571" s="10"/>
      <c r="R571" s="6"/>
    </row>
    <row r="572" spans="1:18" x14ac:dyDescent="0.25">
      <c r="A572" s="8"/>
      <c r="B572" s="9" t="str">
        <f>IF(A572="","","W"&amp;(INT((A572-Lists!$B$2)/7)+1))</f>
        <v/>
      </c>
      <c r="C572" s="10"/>
      <c r="D572" s="10"/>
      <c r="E572" s="9" t="str">
        <f t="shared" si="8"/>
        <v/>
      </c>
      <c r="F572" s="11"/>
      <c r="G572" s="10"/>
      <c r="H572" s="10"/>
      <c r="I572" s="10"/>
      <c r="J572" s="10"/>
      <c r="K572" s="12" t="str">
        <f>IFERROR(IF(J572="","",VLOOKUP(J572,Lists!$K$2:$O$61,5,FALSE)),"")</f>
        <v/>
      </c>
      <c r="L572" s="9" t="str">
        <f>IFERROR(IF(J572="","",VLOOKUP(J572,Lists!$K$2:$O$61,2,FALSE)),"")</f>
        <v/>
      </c>
      <c r="M572" s="9" t="str">
        <f>IFERROR(IF(J572="","",VLOOKUP(J572,Lists!$K$2:$O$61,3,FALSE)),"")</f>
        <v/>
      </c>
      <c r="N572" s="10"/>
      <c r="O572" s="10"/>
      <c r="P572" s="6"/>
      <c r="Q572" s="10"/>
      <c r="R572" s="6"/>
    </row>
    <row r="573" spans="1:18" x14ac:dyDescent="0.25">
      <c r="A573" s="8"/>
      <c r="B573" s="9" t="str">
        <f>IF(A573="","","W"&amp;(INT((A573-Lists!$B$2)/7)+1))</f>
        <v/>
      </c>
      <c r="C573" s="10"/>
      <c r="D573" s="10"/>
      <c r="E573" s="9" t="str">
        <f t="shared" si="8"/>
        <v/>
      </c>
      <c r="F573" s="11"/>
      <c r="G573" s="10"/>
      <c r="H573" s="10"/>
      <c r="I573" s="10"/>
      <c r="J573" s="10"/>
      <c r="K573" s="12" t="str">
        <f>IFERROR(IF(J573="","",VLOOKUP(J573,Lists!$K$2:$O$61,5,FALSE)),"")</f>
        <v/>
      </c>
      <c r="L573" s="9" t="str">
        <f>IFERROR(IF(J573="","",VLOOKUP(J573,Lists!$K$2:$O$61,2,FALSE)),"")</f>
        <v/>
      </c>
      <c r="M573" s="9" t="str">
        <f>IFERROR(IF(J573="","",VLOOKUP(J573,Lists!$K$2:$O$61,3,FALSE)),"")</f>
        <v/>
      </c>
      <c r="N573" s="10"/>
      <c r="O573" s="10"/>
      <c r="P573" s="6"/>
      <c r="Q573" s="10"/>
      <c r="R573" s="6"/>
    </row>
    <row r="574" spans="1:18" x14ac:dyDescent="0.25">
      <c r="A574" s="8"/>
      <c r="B574" s="9" t="str">
        <f>IF(A574="","","W"&amp;(INT((A574-Lists!$B$2)/7)+1))</f>
        <v/>
      </c>
      <c r="C574" s="10"/>
      <c r="D574" s="10"/>
      <c r="E574" s="9" t="str">
        <f t="shared" si="8"/>
        <v/>
      </c>
      <c r="F574" s="11"/>
      <c r="G574" s="10"/>
      <c r="H574" s="10"/>
      <c r="I574" s="10"/>
      <c r="J574" s="10"/>
      <c r="K574" s="12" t="str">
        <f>IFERROR(IF(J574="","",VLOOKUP(J574,Lists!$K$2:$O$61,5,FALSE)),"")</f>
        <v/>
      </c>
      <c r="L574" s="9" t="str">
        <f>IFERROR(IF(J574="","",VLOOKUP(J574,Lists!$K$2:$O$61,2,FALSE)),"")</f>
        <v/>
      </c>
      <c r="M574" s="9" t="str">
        <f>IFERROR(IF(J574="","",VLOOKUP(J574,Lists!$K$2:$O$61,3,FALSE)),"")</f>
        <v/>
      </c>
      <c r="N574" s="10"/>
      <c r="O574" s="10"/>
      <c r="P574" s="6"/>
      <c r="Q574" s="10"/>
      <c r="R574" s="6"/>
    </row>
    <row r="575" spans="1:18" x14ac:dyDescent="0.25">
      <c r="A575" s="8"/>
      <c r="B575" s="9" t="str">
        <f>IF(A575="","","W"&amp;(INT((A575-Lists!$B$2)/7)+1))</f>
        <v/>
      </c>
      <c r="C575" s="10"/>
      <c r="D575" s="10"/>
      <c r="E575" s="9" t="str">
        <f t="shared" si="8"/>
        <v/>
      </c>
      <c r="F575" s="11"/>
      <c r="G575" s="10"/>
      <c r="H575" s="10"/>
      <c r="I575" s="10"/>
      <c r="J575" s="10"/>
      <c r="K575" s="12" t="str">
        <f>IFERROR(IF(J575="","",VLOOKUP(J575,Lists!$K$2:$O$61,5,FALSE)),"")</f>
        <v/>
      </c>
      <c r="L575" s="9" t="str">
        <f>IFERROR(IF(J575="","",VLOOKUP(J575,Lists!$K$2:$O$61,2,FALSE)),"")</f>
        <v/>
      </c>
      <c r="M575" s="9" t="str">
        <f>IFERROR(IF(J575="","",VLOOKUP(J575,Lists!$K$2:$O$61,3,FALSE)),"")</f>
        <v/>
      </c>
      <c r="N575" s="10"/>
      <c r="O575" s="10"/>
      <c r="P575" s="6"/>
      <c r="Q575" s="10"/>
      <c r="R575" s="6"/>
    </row>
    <row r="576" spans="1:18" x14ac:dyDescent="0.25">
      <c r="A576" s="8"/>
      <c r="B576" s="9" t="str">
        <f>IF(A576="","","W"&amp;(INT((A576-Lists!$B$2)/7)+1))</f>
        <v/>
      </c>
      <c r="C576" s="10"/>
      <c r="D576" s="10"/>
      <c r="E576" s="9" t="str">
        <f t="shared" si="8"/>
        <v/>
      </c>
      <c r="F576" s="11"/>
      <c r="G576" s="10"/>
      <c r="H576" s="10"/>
      <c r="I576" s="10"/>
      <c r="J576" s="10"/>
      <c r="K576" s="12" t="str">
        <f>IFERROR(IF(J576="","",VLOOKUP(J576,Lists!$K$2:$O$61,5,FALSE)),"")</f>
        <v/>
      </c>
      <c r="L576" s="9" t="str">
        <f>IFERROR(IF(J576="","",VLOOKUP(J576,Lists!$K$2:$O$61,2,FALSE)),"")</f>
        <v/>
      </c>
      <c r="M576" s="9" t="str">
        <f>IFERROR(IF(J576="","",VLOOKUP(J576,Lists!$K$2:$O$61,3,FALSE)),"")</f>
        <v/>
      </c>
      <c r="N576" s="10"/>
      <c r="O576" s="10"/>
      <c r="P576" s="6"/>
      <c r="Q576" s="10"/>
      <c r="R576" s="6"/>
    </row>
    <row r="577" spans="1:18" x14ac:dyDescent="0.25">
      <c r="A577" s="8"/>
      <c r="B577" s="9" t="str">
        <f>IF(A577="","","W"&amp;(INT((A577-Lists!$B$2)/7)+1))</f>
        <v/>
      </c>
      <c r="C577" s="10"/>
      <c r="D577" s="10"/>
      <c r="E577" s="9" t="str">
        <f t="shared" si="8"/>
        <v/>
      </c>
      <c r="F577" s="11"/>
      <c r="G577" s="10"/>
      <c r="H577" s="10"/>
      <c r="I577" s="10"/>
      <c r="J577" s="10"/>
      <c r="K577" s="12" t="str">
        <f>IFERROR(IF(J577="","",VLOOKUP(J577,Lists!$K$2:$O$61,5,FALSE)),"")</f>
        <v/>
      </c>
      <c r="L577" s="9" t="str">
        <f>IFERROR(IF(J577="","",VLOOKUP(J577,Lists!$K$2:$O$61,2,FALSE)),"")</f>
        <v/>
      </c>
      <c r="M577" s="9" t="str">
        <f>IFERROR(IF(J577="","",VLOOKUP(J577,Lists!$K$2:$O$61,3,FALSE)),"")</f>
        <v/>
      </c>
      <c r="N577" s="10"/>
      <c r="O577" s="10"/>
      <c r="P577" s="6"/>
      <c r="Q577" s="10"/>
      <c r="R577" s="6"/>
    </row>
    <row r="578" spans="1:18" x14ac:dyDescent="0.25">
      <c r="A578" s="8"/>
      <c r="B578" s="9" t="str">
        <f>IF(A578="","","W"&amp;(INT((A578-Lists!$B$2)/7)+1))</f>
        <v/>
      </c>
      <c r="C578" s="10"/>
      <c r="D578" s="10"/>
      <c r="E578" s="9" t="str">
        <f t="shared" ref="E578:E641" si="9">IF(OR(C578="",D578=""),"",IF(C578=D578,"SELF-REVIEW","OK"))</f>
        <v/>
      </c>
      <c r="F578" s="11"/>
      <c r="G578" s="10"/>
      <c r="H578" s="10"/>
      <c r="I578" s="10"/>
      <c r="J578" s="10"/>
      <c r="K578" s="12" t="str">
        <f>IFERROR(IF(J578="","",VLOOKUP(J578,Lists!$K$2:$O$61,5,FALSE)),"")</f>
        <v/>
      </c>
      <c r="L578" s="9" t="str">
        <f>IFERROR(IF(J578="","",VLOOKUP(J578,Lists!$K$2:$O$61,2,FALSE)),"")</f>
        <v/>
      </c>
      <c r="M578" s="9" t="str">
        <f>IFERROR(IF(J578="","",VLOOKUP(J578,Lists!$K$2:$O$61,3,FALSE)),"")</f>
        <v/>
      </c>
      <c r="N578" s="10"/>
      <c r="O578" s="10"/>
      <c r="P578" s="6"/>
      <c r="Q578" s="10"/>
      <c r="R578" s="6"/>
    </row>
    <row r="579" spans="1:18" x14ac:dyDescent="0.25">
      <c r="A579" s="8"/>
      <c r="B579" s="9" t="str">
        <f>IF(A579="","","W"&amp;(INT((A579-Lists!$B$2)/7)+1))</f>
        <v/>
      </c>
      <c r="C579" s="10"/>
      <c r="D579" s="10"/>
      <c r="E579" s="9" t="str">
        <f t="shared" si="9"/>
        <v/>
      </c>
      <c r="F579" s="11"/>
      <c r="G579" s="10"/>
      <c r="H579" s="10"/>
      <c r="I579" s="10"/>
      <c r="J579" s="10"/>
      <c r="K579" s="12" t="str">
        <f>IFERROR(IF(J579="","",VLOOKUP(J579,Lists!$K$2:$O$61,5,FALSE)),"")</f>
        <v/>
      </c>
      <c r="L579" s="9" t="str">
        <f>IFERROR(IF(J579="","",VLOOKUP(J579,Lists!$K$2:$O$61,2,FALSE)),"")</f>
        <v/>
      </c>
      <c r="M579" s="9" t="str">
        <f>IFERROR(IF(J579="","",VLOOKUP(J579,Lists!$K$2:$O$61,3,FALSE)),"")</f>
        <v/>
      </c>
      <c r="N579" s="10"/>
      <c r="O579" s="10"/>
      <c r="P579" s="6"/>
      <c r="Q579" s="10"/>
      <c r="R579" s="6"/>
    </row>
    <row r="580" spans="1:18" x14ac:dyDescent="0.25">
      <c r="A580" s="8"/>
      <c r="B580" s="9" t="str">
        <f>IF(A580="","","W"&amp;(INT((A580-Lists!$B$2)/7)+1))</f>
        <v/>
      </c>
      <c r="C580" s="10"/>
      <c r="D580" s="10"/>
      <c r="E580" s="9" t="str">
        <f t="shared" si="9"/>
        <v/>
      </c>
      <c r="F580" s="11"/>
      <c r="G580" s="10"/>
      <c r="H580" s="10"/>
      <c r="I580" s="10"/>
      <c r="J580" s="10"/>
      <c r="K580" s="12" t="str">
        <f>IFERROR(IF(J580="","",VLOOKUP(J580,Lists!$K$2:$O$61,5,FALSE)),"")</f>
        <v/>
      </c>
      <c r="L580" s="9" t="str">
        <f>IFERROR(IF(J580="","",VLOOKUP(J580,Lists!$K$2:$O$61,2,FALSE)),"")</f>
        <v/>
      </c>
      <c r="M580" s="9" t="str">
        <f>IFERROR(IF(J580="","",VLOOKUP(J580,Lists!$K$2:$O$61,3,FALSE)),"")</f>
        <v/>
      </c>
      <c r="N580" s="10"/>
      <c r="O580" s="10"/>
      <c r="P580" s="6"/>
      <c r="Q580" s="10"/>
      <c r="R580" s="6"/>
    </row>
    <row r="581" spans="1:18" x14ac:dyDescent="0.25">
      <c r="A581" s="8"/>
      <c r="B581" s="9" t="str">
        <f>IF(A581="","","W"&amp;(INT((A581-Lists!$B$2)/7)+1))</f>
        <v/>
      </c>
      <c r="C581" s="10"/>
      <c r="D581" s="10"/>
      <c r="E581" s="9" t="str">
        <f t="shared" si="9"/>
        <v/>
      </c>
      <c r="F581" s="11"/>
      <c r="G581" s="10"/>
      <c r="H581" s="10"/>
      <c r="I581" s="10"/>
      <c r="J581" s="10"/>
      <c r="K581" s="12" t="str">
        <f>IFERROR(IF(J581="","",VLOOKUP(J581,Lists!$K$2:$O$61,5,FALSE)),"")</f>
        <v/>
      </c>
      <c r="L581" s="9" t="str">
        <f>IFERROR(IF(J581="","",VLOOKUP(J581,Lists!$K$2:$O$61,2,FALSE)),"")</f>
        <v/>
      </c>
      <c r="M581" s="9" t="str">
        <f>IFERROR(IF(J581="","",VLOOKUP(J581,Lists!$K$2:$O$61,3,FALSE)),"")</f>
        <v/>
      </c>
      <c r="N581" s="10"/>
      <c r="O581" s="10"/>
      <c r="P581" s="6"/>
      <c r="Q581" s="10"/>
      <c r="R581" s="6"/>
    </row>
    <row r="582" spans="1:18" x14ac:dyDescent="0.25">
      <c r="A582" s="8"/>
      <c r="B582" s="9" t="str">
        <f>IF(A582="","","W"&amp;(INT((A582-Lists!$B$2)/7)+1))</f>
        <v/>
      </c>
      <c r="C582" s="10"/>
      <c r="D582" s="10"/>
      <c r="E582" s="9" t="str">
        <f t="shared" si="9"/>
        <v/>
      </c>
      <c r="F582" s="11"/>
      <c r="G582" s="10"/>
      <c r="H582" s="10"/>
      <c r="I582" s="10"/>
      <c r="J582" s="10"/>
      <c r="K582" s="12" t="str">
        <f>IFERROR(IF(J582="","",VLOOKUP(J582,Lists!$K$2:$O$61,5,FALSE)),"")</f>
        <v/>
      </c>
      <c r="L582" s="9" t="str">
        <f>IFERROR(IF(J582="","",VLOOKUP(J582,Lists!$K$2:$O$61,2,FALSE)),"")</f>
        <v/>
      </c>
      <c r="M582" s="9" t="str">
        <f>IFERROR(IF(J582="","",VLOOKUP(J582,Lists!$K$2:$O$61,3,FALSE)),"")</f>
        <v/>
      </c>
      <c r="N582" s="10"/>
      <c r="O582" s="10"/>
      <c r="P582" s="6"/>
      <c r="Q582" s="10"/>
      <c r="R582" s="6"/>
    </row>
    <row r="583" spans="1:18" x14ac:dyDescent="0.25">
      <c r="A583" s="8"/>
      <c r="B583" s="9" t="str">
        <f>IF(A583="","","W"&amp;(INT((A583-Lists!$B$2)/7)+1))</f>
        <v/>
      </c>
      <c r="C583" s="10"/>
      <c r="D583" s="10"/>
      <c r="E583" s="9" t="str">
        <f t="shared" si="9"/>
        <v/>
      </c>
      <c r="F583" s="11"/>
      <c r="G583" s="10"/>
      <c r="H583" s="10"/>
      <c r="I583" s="10"/>
      <c r="J583" s="10"/>
      <c r="K583" s="12" t="str">
        <f>IFERROR(IF(J583="","",VLOOKUP(J583,Lists!$K$2:$O$61,5,FALSE)),"")</f>
        <v/>
      </c>
      <c r="L583" s="9" t="str">
        <f>IFERROR(IF(J583="","",VLOOKUP(J583,Lists!$K$2:$O$61,2,FALSE)),"")</f>
        <v/>
      </c>
      <c r="M583" s="9" t="str">
        <f>IFERROR(IF(J583="","",VLOOKUP(J583,Lists!$K$2:$O$61,3,FALSE)),"")</f>
        <v/>
      </c>
      <c r="N583" s="10"/>
      <c r="O583" s="10"/>
      <c r="P583" s="6"/>
      <c r="Q583" s="10"/>
      <c r="R583" s="6"/>
    </row>
    <row r="584" spans="1:18" x14ac:dyDescent="0.25">
      <c r="A584" s="8"/>
      <c r="B584" s="9" t="str">
        <f>IF(A584="","","W"&amp;(INT((A584-Lists!$B$2)/7)+1))</f>
        <v/>
      </c>
      <c r="C584" s="10"/>
      <c r="D584" s="10"/>
      <c r="E584" s="9" t="str">
        <f t="shared" si="9"/>
        <v/>
      </c>
      <c r="F584" s="11"/>
      <c r="G584" s="10"/>
      <c r="H584" s="10"/>
      <c r="I584" s="10"/>
      <c r="J584" s="10"/>
      <c r="K584" s="12" t="str">
        <f>IFERROR(IF(J584="","",VLOOKUP(J584,Lists!$K$2:$O$61,5,FALSE)),"")</f>
        <v/>
      </c>
      <c r="L584" s="9" t="str">
        <f>IFERROR(IF(J584="","",VLOOKUP(J584,Lists!$K$2:$O$61,2,FALSE)),"")</f>
        <v/>
      </c>
      <c r="M584" s="9" t="str">
        <f>IFERROR(IF(J584="","",VLOOKUP(J584,Lists!$K$2:$O$61,3,FALSE)),"")</f>
        <v/>
      </c>
      <c r="N584" s="10"/>
      <c r="O584" s="10"/>
      <c r="P584" s="6"/>
      <c r="Q584" s="10"/>
      <c r="R584" s="6"/>
    </row>
    <row r="585" spans="1:18" x14ac:dyDescent="0.25">
      <c r="A585" s="8"/>
      <c r="B585" s="9" t="str">
        <f>IF(A585="","","W"&amp;(INT((A585-Lists!$B$2)/7)+1))</f>
        <v/>
      </c>
      <c r="C585" s="10"/>
      <c r="D585" s="10"/>
      <c r="E585" s="9" t="str">
        <f t="shared" si="9"/>
        <v/>
      </c>
      <c r="F585" s="11"/>
      <c r="G585" s="10"/>
      <c r="H585" s="10"/>
      <c r="I585" s="10"/>
      <c r="J585" s="10"/>
      <c r="K585" s="12" t="str">
        <f>IFERROR(IF(J585="","",VLOOKUP(J585,Lists!$K$2:$O$61,5,FALSE)),"")</f>
        <v/>
      </c>
      <c r="L585" s="9" t="str">
        <f>IFERROR(IF(J585="","",VLOOKUP(J585,Lists!$K$2:$O$61,2,FALSE)),"")</f>
        <v/>
      </c>
      <c r="M585" s="9" t="str">
        <f>IFERROR(IF(J585="","",VLOOKUP(J585,Lists!$K$2:$O$61,3,FALSE)),"")</f>
        <v/>
      </c>
      <c r="N585" s="10"/>
      <c r="O585" s="10"/>
      <c r="P585" s="6"/>
      <c r="Q585" s="10"/>
      <c r="R585" s="6"/>
    </row>
    <row r="586" spans="1:18" x14ac:dyDescent="0.25">
      <c r="A586" s="8"/>
      <c r="B586" s="9" t="str">
        <f>IF(A586="","","W"&amp;(INT((A586-Lists!$B$2)/7)+1))</f>
        <v/>
      </c>
      <c r="C586" s="10"/>
      <c r="D586" s="10"/>
      <c r="E586" s="9" t="str">
        <f t="shared" si="9"/>
        <v/>
      </c>
      <c r="F586" s="11"/>
      <c r="G586" s="10"/>
      <c r="H586" s="10"/>
      <c r="I586" s="10"/>
      <c r="J586" s="10"/>
      <c r="K586" s="12" t="str">
        <f>IFERROR(IF(J586="","",VLOOKUP(J586,Lists!$K$2:$O$61,5,FALSE)),"")</f>
        <v/>
      </c>
      <c r="L586" s="9" t="str">
        <f>IFERROR(IF(J586="","",VLOOKUP(J586,Lists!$K$2:$O$61,2,FALSE)),"")</f>
        <v/>
      </c>
      <c r="M586" s="9" t="str">
        <f>IFERROR(IF(J586="","",VLOOKUP(J586,Lists!$K$2:$O$61,3,FALSE)),"")</f>
        <v/>
      </c>
      <c r="N586" s="10"/>
      <c r="O586" s="10"/>
      <c r="P586" s="6"/>
      <c r="Q586" s="10"/>
      <c r="R586" s="6"/>
    </row>
    <row r="587" spans="1:18" x14ac:dyDescent="0.25">
      <c r="A587" s="8"/>
      <c r="B587" s="9" t="str">
        <f>IF(A587="","","W"&amp;(INT((A587-Lists!$B$2)/7)+1))</f>
        <v/>
      </c>
      <c r="C587" s="10"/>
      <c r="D587" s="10"/>
      <c r="E587" s="9" t="str">
        <f t="shared" si="9"/>
        <v/>
      </c>
      <c r="F587" s="11"/>
      <c r="G587" s="10"/>
      <c r="H587" s="10"/>
      <c r="I587" s="10"/>
      <c r="J587" s="10"/>
      <c r="K587" s="12" t="str">
        <f>IFERROR(IF(J587="","",VLOOKUP(J587,Lists!$K$2:$O$61,5,FALSE)),"")</f>
        <v/>
      </c>
      <c r="L587" s="9" t="str">
        <f>IFERROR(IF(J587="","",VLOOKUP(J587,Lists!$K$2:$O$61,2,FALSE)),"")</f>
        <v/>
      </c>
      <c r="M587" s="9" t="str">
        <f>IFERROR(IF(J587="","",VLOOKUP(J587,Lists!$K$2:$O$61,3,FALSE)),"")</f>
        <v/>
      </c>
      <c r="N587" s="10"/>
      <c r="O587" s="10"/>
      <c r="P587" s="6"/>
      <c r="Q587" s="10"/>
      <c r="R587" s="6"/>
    </row>
    <row r="588" spans="1:18" x14ac:dyDescent="0.25">
      <c r="A588" s="8"/>
      <c r="B588" s="9" t="str">
        <f>IF(A588="","","W"&amp;(INT((A588-Lists!$B$2)/7)+1))</f>
        <v/>
      </c>
      <c r="C588" s="10"/>
      <c r="D588" s="10"/>
      <c r="E588" s="9" t="str">
        <f t="shared" si="9"/>
        <v/>
      </c>
      <c r="F588" s="11"/>
      <c r="G588" s="10"/>
      <c r="H588" s="10"/>
      <c r="I588" s="10"/>
      <c r="J588" s="10"/>
      <c r="K588" s="12" t="str">
        <f>IFERROR(IF(J588="","",VLOOKUP(J588,Lists!$K$2:$O$61,5,FALSE)),"")</f>
        <v/>
      </c>
      <c r="L588" s="9" t="str">
        <f>IFERROR(IF(J588="","",VLOOKUP(J588,Lists!$K$2:$O$61,2,FALSE)),"")</f>
        <v/>
      </c>
      <c r="M588" s="9" t="str">
        <f>IFERROR(IF(J588="","",VLOOKUP(J588,Lists!$K$2:$O$61,3,FALSE)),"")</f>
        <v/>
      </c>
      <c r="N588" s="10"/>
      <c r="O588" s="10"/>
      <c r="P588" s="6"/>
      <c r="Q588" s="10"/>
      <c r="R588" s="6"/>
    </row>
    <row r="589" spans="1:18" x14ac:dyDescent="0.25">
      <c r="A589" s="8"/>
      <c r="B589" s="9" t="str">
        <f>IF(A589="","","W"&amp;(INT((A589-Lists!$B$2)/7)+1))</f>
        <v/>
      </c>
      <c r="C589" s="10"/>
      <c r="D589" s="10"/>
      <c r="E589" s="9" t="str">
        <f t="shared" si="9"/>
        <v/>
      </c>
      <c r="F589" s="11"/>
      <c r="G589" s="10"/>
      <c r="H589" s="10"/>
      <c r="I589" s="10"/>
      <c r="J589" s="10"/>
      <c r="K589" s="12" t="str">
        <f>IFERROR(IF(J589="","",VLOOKUP(J589,Lists!$K$2:$O$61,5,FALSE)),"")</f>
        <v/>
      </c>
      <c r="L589" s="9" t="str">
        <f>IFERROR(IF(J589="","",VLOOKUP(J589,Lists!$K$2:$O$61,2,FALSE)),"")</f>
        <v/>
      </c>
      <c r="M589" s="9" t="str">
        <f>IFERROR(IF(J589="","",VLOOKUP(J589,Lists!$K$2:$O$61,3,FALSE)),"")</f>
        <v/>
      </c>
      <c r="N589" s="10"/>
      <c r="O589" s="10"/>
      <c r="P589" s="6"/>
      <c r="Q589" s="10"/>
      <c r="R589" s="6"/>
    </row>
    <row r="590" spans="1:18" x14ac:dyDescent="0.25">
      <c r="A590" s="8"/>
      <c r="B590" s="9" t="str">
        <f>IF(A590="","","W"&amp;(INT((A590-Lists!$B$2)/7)+1))</f>
        <v/>
      </c>
      <c r="C590" s="10"/>
      <c r="D590" s="10"/>
      <c r="E590" s="9" t="str">
        <f t="shared" si="9"/>
        <v/>
      </c>
      <c r="F590" s="11"/>
      <c r="G590" s="10"/>
      <c r="H590" s="10"/>
      <c r="I590" s="10"/>
      <c r="J590" s="10"/>
      <c r="K590" s="12" t="str">
        <f>IFERROR(IF(J590="","",VLOOKUP(J590,Lists!$K$2:$O$61,5,FALSE)),"")</f>
        <v/>
      </c>
      <c r="L590" s="9" t="str">
        <f>IFERROR(IF(J590="","",VLOOKUP(J590,Lists!$K$2:$O$61,2,FALSE)),"")</f>
        <v/>
      </c>
      <c r="M590" s="9" t="str">
        <f>IFERROR(IF(J590="","",VLOOKUP(J590,Lists!$K$2:$O$61,3,FALSE)),"")</f>
        <v/>
      </c>
      <c r="N590" s="10"/>
      <c r="O590" s="10"/>
      <c r="P590" s="6"/>
      <c r="Q590" s="10"/>
      <c r="R590" s="6"/>
    </row>
    <row r="591" spans="1:18" x14ac:dyDescent="0.25">
      <c r="A591" s="8"/>
      <c r="B591" s="9" t="str">
        <f>IF(A591="","","W"&amp;(INT((A591-Lists!$B$2)/7)+1))</f>
        <v/>
      </c>
      <c r="C591" s="10"/>
      <c r="D591" s="10"/>
      <c r="E591" s="9" t="str">
        <f t="shared" si="9"/>
        <v/>
      </c>
      <c r="F591" s="11"/>
      <c r="G591" s="10"/>
      <c r="H591" s="10"/>
      <c r="I591" s="10"/>
      <c r="J591" s="10"/>
      <c r="K591" s="12" t="str">
        <f>IFERROR(IF(J591="","",VLOOKUP(J591,Lists!$K$2:$O$61,5,FALSE)),"")</f>
        <v/>
      </c>
      <c r="L591" s="9" t="str">
        <f>IFERROR(IF(J591="","",VLOOKUP(J591,Lists!$K$2:$O$61,2,FALSE)),"")</f>
        <v/>
      </c>
      <c r="M591" s="9" t="str">
        <f>IFERROR(IF(J591="","",VLOOKUP(J591,Lists!$K$2:$O$61,3,FALSE)),"")</f>
        <v/>
      </c>
      <c r="N591" s="10"/>
      <c r="O591" s="10"/>
      <c r="P591" s="6"/>
      <c r="Q591" s="10"/>
      <c r="R591" s="6"/>
    </row>
    <row r="592" spans="1:18" x14ac:dyDescent="0.25">
      <c r="A592" s="8"/>
      <c r="B592" s="9" t="str">
        <f>IF(A592="","","W"&amp;(INT((A592-Lists!$B$2)/7)+1))</f>
        <v/>
      </c>
      <c r="C592" s="10"/>
      <c r="D592" s="10"/>
      <c r="E592" s="9" t="str">
        <f t="shared" si="9"/>
        <v/>
      </c>
      <c r="F592" s="11"/>
      <c r="G592" s="10"/>
      <c r="H592" s="10"/>
      <c r="I592" s="10"/>
      <c r="J592" s="10"/>
      <c r="K592" s="12" t="str">
        <f>IFERROR(IF(J592="","",VLOOKUP(J592,Lists!$K$2:$O$61,5,FALSE)),"")</f>
        <v/>
      </c>
      <c r="L592" s="9" t="str">
        <f>IFERROR(IF(J592="","",VLOOKUP(J592,Lists!$K$2:$O$61,2,FALSE)),"")</f>
        <v/>
      </c>
      <c r="M592" s="9" t="str">
        <f>IFERROR(IF(J592="","",VLOOKUP(J592,Lists!$K$2:$O$61,3,FALSE)),"")</f>
        <v/>
      </c>
      <c r="N592" s="10"/>
      <c r="O592" s="10"/>
      <c r="P592" s="6"/>
      <c r="Q592" s="10"/>
      <c r="R592" s="6"/>
    </row>
    <row r="593" spans="1:18" x14ac:dyDescent="0.25">
      <c r="A593" s="8"/>
      <c r="B593" s="9" t="str">
        <f>IF(A593="","","W"&amp;(INT((A593-Lists!$B$2)/7)+1))</f>
        <v/>
      </c>
      <c r="C593" s="10"/>
      <c r="D593" s="10"/>
      <c r="E593" s="9" t="str">
        <f t="shared" si="9"/>
        <v/>
      </c>
      <c r="F593" s="11"/>
      <c r="G593" s="10"/>
      <c r="H593" s="10"/>
      <c r="I593" s="10"/>
      <c r="J593" s="10"/>
      <c r="K593" s="12" t="str">
        <f>IFERROR(IF(J593="","",VLOOKUP(J593,Lists!$K$2:$O$61,5,FALSE)),"")</f>
        <v/>
      </c>
      <c r="L593" s="9" t="str">
        <f>IFERROR(IF(J593="","",VLOOKUP(J593,Lists!$K$2:$O$61,2,FALSE)),"")</f>
        <v/>
      </c>
      <c r="M593" s="9" t="str">
        <f>IFERROR(IF(J593="","",VLOOKUP(J593,Lists!$K$2:$O$61,3,FALSE)),"")</f>
        <v/>
      </c>
      <c r="N593" s="10"/>
      <c r="O593" s="10"/>
      <c r="P593" s="6"/>
      <c r="Q593" s="10"/>
      <c r="R593" s="6"/>
    </row>
    <row r="594" spans="1:18" x14ac:dyDescent="0.25">
      <c r="A594" s="8"/>
      <c r="B594" s="9" t="str">
        <f>IF(A594="","","W"&amp;(INT((A594-Lists!$B$2)/7)+1))</f>
        <v/>
      </c>
      <c r="C594" s="10"/>
      <c r="D594" s="10"/>
      <c r="E594" s="9" t="str">
        <f t="shared" si="9"/>
        <v/>
      </c>
      <c r="F594" s="11"/>
      <c r="G594" s="10"/>
      <c r="H594" s="10"/>
      <c r="I594" s="10"/>
      <c r="J594" s="10"/>
      <c r="K594" s="12" t="str">
        <f>IFERROR(IF(J594="","",VLOOKUP(J594,Lists!$K$2:$O$61,5,FALSE)),"")</f>
        <v/>
      </c>
      <c r="L594" s="9" t="str">
        <f>IFERROR(IF(J594="","",VLOOKUP(J594,Lists!$K$2:$O$61,2,FALSE)),"")</f>
        <v/>
      </c>
      <c r="M594" s="9" t="str">
        <f>IFERROR(IF(J594="","",VLOOKUP(J594,Lists!$K$2:$O$61,3,FALSE)),"")</f>
        <v/>
      </c>
      <c r="N594" s="10"/>
      <c r="O594" s="10"/>
      <c r="P594" s="6"/>
      <c r="Q594" s="10"/>
      <c r="R594" s="6"/>
    </row>
    <row r="595" spans="1:18" x14ac:dyDescent="0.25">
      <c r="A595" s="8"/>
      <c r="B595" s="9" t="str">
        <f>IF(A595="","","W"&amp;(INT((A595-Lists!$B$2)/7)+1))</f>
        <v/>
      </c>
      <c r="C595" s="10"/>
      <c r="D595" s="10"/>
      <c r="E595" s="9" t="str">
        <f t="shared" si="9"/>
        <v/>
      </c>
      <c r="F595" s="11"/>
      <c r="G595" s="10"/>
      <c r="H595" s="10"/>
      <c r="I595" s="10"/>
      <c r="J595" s="10"/>
      <c r="K595" s="12" t="str">
        <f>IFERROR(IF(J595="","",VLOOKUP(J595,Lists!$K$2:$O$61,5,FALSE)),"")</f>
        <v/>
      </c>
      <c r="L595" s="9" t="str">
        <f>IFERROR(IF(J595="","",VLOOKUP(J595,Lists!$K$2:$O$61,2,FALSE)),"")</f>
        <v/>
      </c>
      <c r="M595" s="9" t="str">
        <f>IFERROR(IF(J595="","",VLOOKUP(J595,Lists!$K$2:$O$61,3,FALSE)),"")</f>
        <v/>
      </c>
      <c r="N595" s="10"/>
      <c r="O595" s="10"/>
      <c r="P595" s="6"/>
      <c r="Q595" s="10"/>
      <c r="R595" s="6"/>
    </row>
    <row r="596" spans="1:18" x14ac:dyDescent="0.25">
      <c r="A596" s="8"/>
      <c r="B596" s="9" t="str">
        <f>IF(A596="","","W"&amp;(INT((A596-Lists!$B$2)/7)+1))</f>
        <v/>
      </c>
      <c r="C596" s="10"/>
      <c r="D596" s="10"/>
      <c r="E596" s="9" t="str">
        <f t="shared" si="9"/>
        <v/>
      </c>
      <c r="F596" s="11"/>
      <c r="G596" s="10"/>
      <c r="H596" s="10"/>
      <c r="I596" s="10"/>
      <c r="J596" s="10"/>
      <c r="K596" s="12" t="str">
        <f>IFERROR(IF(J596="","",VLOOKUP(J596,Lists!$K$2:$O$61,5,FALSE)),"")</f>
        <v/>
      </c>
      <c r="L596" s="9" t="str">
        <f>IFERROR(IF(J596="","",VLOOKUP(J596,Lists!$K$2:$O$61,2,FALSE)),"")</f>
        <v/>
      </c>
      <c r="M596" s="9" t="str">
        <f>IFERROR(IF(J596="","",VLOOKUP(J596,Lists!$K$2:$O$61,3,FALSE)),"")</f>
        <v/>
      </c>
      <c r="N596" s="10"/>
      <c r="O596" s="10"/>
      <c r="P596" s="6"/>
      <c r="Q596" s="10"/>
      <c r="R596" s="6"/>
    </row>
    <row r="597" spans="1:18" x14ac:dyDescent="0.25">
      <c r="A597" s="8"/>
      <c r="B597" s="9" t="str">
        <f>IF(A597="","","W"&amp;(INT((A597-Lists!$B$2)/7)+1))</f>
        <v/>
      </c>
      <c r="C597" s="10"/>
      <c r="D597" s="10"/>
      <c r="E597" s="9" t="str">
        <f t="shared" si="9"/>
        <v/>
      </c>
      <c r="F597" s="11"/>
      <c r="G597" s="10"/>
      <c r="H597" s="10"/>
      <c r="I597" s="10"/>
      <c r="J597" s="10"/>
      <c r="K597" s="12" t="str">
        <f>IFERROR(IF(J597="","",VLOOKUP(J597,Lists!$K$2:$O$61,5,FALSE)),"")</f>
        <v/>
      </c>
      <c r="L597" s="9" t="str">
        <f>IFERROR(IF(J597="","",VLOOKUP(J597,Lists!$K$2:$O$61,2,FALSE)),"")</f>
        <v/>
      </c>
      <c r="M597" s="9" t="str">
        <f>IFERROR(IF(J597="","",VLOOKUP(J597,Lists!$K$2:$O$61,3,FALSE)),"")</f>
        <v/>
      </c>
      <c r="N597" s="10"/>
      <c r="O597" s="10"/>
      <c r="P597" s="6"/>
      <c r="Q597" s="10"/>
      <c r="R597" s="6"/>
    </row>
    <row r="598" spans="1:18" x14ac:dyDescent="0.25">
      <c r="A598" s="8"/>
      <c r="B598" s="9" t="str">
        <f>IF(A598="","","W"&amp;(INT((A598-Lists!$B$2)/7)+1))</f>
        <v/>
      </c>
      <c r="C598" s="10"/>
      <c r="D598" s="10"/>
      <c r="E598" s="9" t="str">
        <f t="shared" si="9"/>
        <v/>
      </c>
      <c r="F598" s="11"/>
      <c r="G598" s="10"/>
      <c r="H598" s="10"/>
      <c r="I598" s="10"/>
      <c r="J598" s="10"/>
      <c r="K598" s="12" t="str">
        <f>IFERROR(IF(J598="","",VLOOKUP(J598,Lists!$K$2:$O$61,5,FALSE)),"")</f>
        <v/>
      </c>
      <c r="L598" s="9" t="str">
        <f>IFERROR(IF(J598="","",VLOOKUP(J598,Lists!$K$2:$O$61,2,FALSE)),"")</f>
        <v/>
      </c>
      <c r="M598" s="9" t="str">
        <f>IFERROR(IF(J598="","",VLOOKUP(J598,Lists!$K$2:$O$61,3,FALSE)),"")</f>
        <v/>
      </c>
      <c r="N598" s="10"/>
      <c r="O598" s="10"/>
      <c r="P598" s="6"/>
      <c r="Q598" s="10"/>
      <c r="R598" s="6"/>
    </row>
    <row r="599" spans="1:18" x14ac:dyDescent="0.25">
      <c r="A599" s="8"/>
      <c r="B599" s="9" t="str">
        <f>IF(A599="","","W"&amp;(INT((A599-Lists!$B$2)/7)+1))</f>
        <v/>
      </c>
      <c r="C599" s="10"/>
      <c r="D599" s="10"/>
      <c r="E599" s="9" t="str">
        <f t="shared" si="9"/>
        <v/>
      </c>
      <c r="F599" s="11"/>
      <c r="G599" s="10"/>
      <c r="H599" s="10"/>
      <c r="I599" s="10"/>
      <c r="J599" s="10"/>
      <c r="K599" s="12" t="str">
        <f>IFERROR(IF(J599="","",VLOOKUP(J599,Lists!$K$2:$O$61,5,FALSE)),"")</f>
        <v/>
      </c>
      <c r="L599" s="9" t="str">
        <f>IFERROR(IF(J599="","",VLOOKUP(J599,Lists!$K$2:$O$61,2,FALSE)),"")</f>
        <v/>
      </c>
      <c r="M599" s="9" t="str">
        <f>IFERROR(IF(J599="","",VLOOKUP(J599,Lists!$K$2:$O$61,3,FALSE)),"")</f>
        <v/>
      </c>
      <c r="N599" s="10"/>
      <c r="O599" s="10"/>
      <c r="P599" s="6"/>
      <c r="Q599" s="10"/>
      <c r="R599" s="6"/>
    </row>
    <row r="600" spans="1:18" x14ac:dyDescent="0.25">
      <c r="A600" s="8"/>
      <c r="B600" s="9" t="str">
        <f>IF(A600="","","W"&amp;(INT((A600-Lists!$B$2)/7)+1))</f>
        <v/>
      </c>
      <c r="C600" s="10"/>
      <c r="D600" s="10"/>
      <c r="E600" s="9" t="str">
        <f t="shared" si="9"/>
        <v/>
      </c>
      <c r="F600" s="11"/>
      <c r="G600" s="10"/>
      <c r="H600" s="10"/>
      <c r="I600" s="10"/>
      <c r="J600" s="10"/>
      <c r="K600" s="12" t="str">
        <f>IFERROR(IF(J600="","",VLOOKUP(J600,Lists!$K$2:$O$61,5,FALSE)),"")</f>
        <v/>
      </c>
      <c r="L600" s="9" t="str">
        <f>IFERROR(IF(J600="","",VLOOKUP(J600,Lists!$K$2:$O$61,2,FALSE)),"")</f>
        <v/>
      </c>
      <c r="M600" s="9" t="str">
        <f>IFERROR(IF(J600="","",VLOOKUP(J600,Lists!$K$2:$O$61,3,FALSE)),"")</f>
        <v/>
      </c>
      <c r="N600" s="10"/>
      <c r="O600" s="10"/>
      <c r="P600" s="6"/>
      <c r="Q600" s="10"/>
      <c r="R600" s="6"/>
    </row>
    <row r="601" spans="1:18" x14ac:dyDescent="0.25">
      <c r="A601" s="8"/>
      <c r="B601" s="9" t="str">
        <f>IF(A601="","","W"&amp;(INT((A601-Lists!$B$2)/7)+1))</f>
        <v/>
      </c>
      <c r="C601" s="10"/>
      <c r="D601" s="10"/>
      <c r="E601" s="9" t="str">
        <f t="shared" si="9"/>
        <v/>
      </c>
      <c r="F601" s="11"/>
      <c r="G601" s="10"/>
      <c r="H601" s="10"/>
      <c r="I601" s="10"/>
      <c r="J601" s="10"/>
      <c r="K601" s="12" t="str">
        <f>IFERROR(IF(J601="","",VLOOKUP(J601,Lists!$K$2:$O$61,5,FALSE)),"")</f>
        <v/>
      </c>
      <c r="L601" s="9" t="str">
        <f>IFERROR(IF(J601="","",VLOOKUP(J601,Lists!$K$2:$O$61,2,FALSE)),"")</f>
        <v/>
      </c>
      <c r="M601" s="9" t="str">
        <f>IFERROR(IF(J601="","",VLOOKUP(J601,Lists!$K$2:$O$61,3,FALSE)),"")</f>
        <v/>
      </c>
      <c r="N601" s="10"/>
      <c r="O601" s="10"/>
      <c r="P601" s="6"/>
      <c r="Q601" s="10"/>
      <c r="R601" s="6"/>
    </row>
  </sheetData>
  <autoFilter ref="A1:R601" xr:uid="{00000000-0009-0000-0000-000001000000}"/>
  <phoneticPr fontId="11" type="noConversion"/>
  <conditionalFormatting sqref="A2:R601">
    <cfRule type="expression" dxfId="9" priority="1">
      <formula>$E2="SELF-REVIEW"</formula>
    </cfRule>
  </conditionalFormatting>
  <conditionalFormatting sqref="E2:E601">
    <cfRule type="cellIs" dxfId="8" priority="2" operator="equal">
      <formula>"OK"</formula>
    </cfRule>
  </conditionalFormatting>
  <conditionalFormatting sqref="Q2:Q601">
    <cfRule type="cellIs" dxfId="7" priority="3" operator="equal">
      <formula>"Yes - story complete"</formula>
    </cfRule>
  </conditionalFormatting>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xr:uid="{00000000-0002-0000-0100-000000000000}">
          <x14:formula1>
            <xm:f>Lists!$A$2:$A$9</xm:f>
          </x14:formula1>
          <xm:sqref>C2:D601</xm:sqref>
        </x14:dataValidation>
        <x14:dataValidation type="list" allowBlank="1" xr:uid="{00000000-0002-0000-0100-000002000000}">
          <x14:formula1>
            <xm:f>Lists!$D$2:$D$9</xm:f>
          </x14:formula1>
          <xm:sqref>H2:H601</xm:sqref>
        </x14:dataValidation>
        <x14:dataValidation type="list" allowBlank="1" xr:uid="{00000000-0002-0000-0100-000003000000}">
          <x14:formula1>
            <xm:f>Lists!$E$2:$E$9</xm:f>
          </x14:formula1>
          <xm:sqref>I2:I601</xm:sqref>
        </x14:dataValidation>
        <x14:dataValidation type="list" allowBlank="1" xr:uid="{00000000-0002-0000-0100-000004000000}">
          <x14:formula1>
            <xm:f>Lists!$K$2:$K$61</xm:f>
          </x14:formula1>
          <xm:sqref>J2:J601</xm:sqref>
        </x14:dataValidation>
        <x14:dataValidation type="list" allowBlank="1" xr:uid="{00000000-0002-0000-0100-000005000000}">
          <x14:formula1>
            <xm:f>Lists!$F$2:$F$4</xm:f>
          </x14:formula1>
          <xm:sqref>Q2:Q601</xm:sqref>
        </x14:dataValidation>
        <x14:dataValidation type="list" allowBlank="1" xr:uid="{00000000-0002-0000-0100-000006000000}">
          <x14:formula1>
            <xm:f>Lists!$Z$2:$Z$74</xm:f>
          </x14:formula1>
          <xm:sqref>N2:N601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47"/>
  <sheetViews>
    <sheetView showGridLines="0" topLeftCell="A22" workbookViewId="0"/>
  </sheetViews>
  <sheetFormatPr defaultRowHeight="14" x14ac:dyDescent="0.25"/>
  <cols>
    <col min="1" max="1" width="3" customWidth="1"/>
    <col min="2" max="2" width="22" customWidth="1"/>
    <col min="3" max="7" width="12" customWidth="1"/>
    <col min="8" max="8" width="40" customWidth="1"/>
    <col min="9" max="9" width="10" customWidth="1"/>
    <col min="10" max="17" width="12" customWidth="1"/>
  </cols>
  <sheetData>
    <row r="2" spans="2:13" ht="21" x14ac:dyDescent="0.5">
      <c r="B2" s="13" t="s">
        <v>7</v>
      </c>
    </row>
    <row r="3" spans="2:13" ht="14.5" x14ac:dyDescent="0.3">
      <c r="B3" s="14" t="s">
        <v>86</v>
      </c>
    </row>
    <row r="5" spans="2:13" x14ac:dyDescent="0.25">
      <c r="B5" s="45" t="s">
        <v>87</v>
      </c>
      <c r="C5" s="46"/>
      <c r="D5" s="46"/>
      <c r="E5" s="45" t="s">
        <v>88</v>
      </c>
      <c r="F5" s="46"/>
      <c r="G5" s="46"/>
      <c r="H5" s="45" t="s">
        <v>89</v>
      </c>
      <c r="I5" s="46"/>
      <c r="J5" s="46"/>
      <c r="K5" s="45" t="s">
        <v>90</v>
      </c>
      <c r="L5" s="46"/>
      <c r="M5" s="46"/>
    </row>
    <row r="6" spans="2:13" ht="30" customHeight="1" x14ac:dyDescent="0.25">
      <c r="B6" s="47">
        <f>COUNTA('Contribution Log'!$C$2:$C$601)</f>
        <v>3</v>
      </c>
      <c r="C6" s="48"/>
      <c r="D6" s="48"/>
      <c r="E6" s="47">
        <f>SUMPRODUCT((COUNTIF('Contribution Log'!$J$2:$J$601,Lists!$K$3:$K$61)&gt;0)*1)</f>
        <v>2</v>
      </c>
      <c r="F6" s="48"/>
      <c r="G6" s="48"/>
      <c r="H6" s="47">
        <f>SUMPRODUCT((COUNTIFS('Contribution Log'!$J$2:$J$601,Lists!$K$3:$K$61,'Contribution Log'!$Q$2:$Q$601,"Yes - story complete")&gt;0)*1)</f>
        <v>2</v>
      </c>
      <c r="I6" s="48"/>
      <c r="J6" s="48"/>
      <c r="K6" s="47">
        <f>COUNTIF('Contribution Log'!$E$2:$E$601,"SELF-REVIEW")</f>
        <v>1</v>
      </c>
      <c r="L6" s="48"/>
      <c r="M6" s="48"/>
    </row>
    <row r="9" spans="2:13" ht="15.5" x14ac:dyDescent="0.35">
      <c r="B9" s="15" t="s">
        <v>91</v>
      </c>
    </row>
    <row r="10" spans="2:13" ht="30" customHeight="1" x14ac:dyDescent="0.25">
      <c r="B10" s="7" t="s">
        <v>34</v>
      </c>
      <c r="C10" s="7" t="s">
        <v>92</v>
      </c>
      <c r="D10" s="7" t="s">
        <v>93</v>
      </c>
      <c r="E10" s="7" t="s">
        <v>94</v>
      </c>
      <c r="F10" s="7" t="s">
        <v>95</v>
      </c>
      <c r="G10" s="7" t="s">
        <v>96</v>
      </c>
      <c r="H10" s="7" t="s">
        <v>97</v>
      </c>
      <c r="I10" s="7" t="s">
        <v>98</v>
      </c>
      <c r="J10" s="7" t="s">
        <v>99</v>
      </c>
      <c r="K10" s="7" t="s">
        <v>100</v>
      </c>
    </row>
    <row r="11" spans="2:13" x14ac:dyDescent="0.25">
      <c r="B11" s="16" t="str">
        <f>Lists!$A$2</f>
        <v>Michael Max</v>
      </c>
      <c r="C11" s="11">
        <f>COUNTIF('Contribution Log'!$C$2:$C$601,Lists!$A$2)</f>
        <v>0</v>
      </c>
      <c r="D11" s="11">
        <f>COUNTIF('Contribution Log'!$D$2:$D$601,Lists!$A$2)</f>
        <v>0</v>
      </c>
      <c r="E11" s="11">
        <f>COUNTIFS('Contribution Log'!$C$2:$C$601,Lists!$A$2,'Contribution Log'!$H$2:$H$601,"Feature")</f>
        <v>0</v>
      </c>
      <c r="F11" s="11">
        <f>COUNTIFS('Contribution Log'!$C$2:$C$601,Lists!$A$2,'Contribution Log'!$H$2:$H$601,"Defect fix")</f>
        <v>0</v>
      </c>
      <c r="G11" s="11">
        <f>COUNTIFS('Contribution Log'!$C$2:$C$601,Lists!$A$2,'Contribution Log'!$H$2:$H$601,"Tests")+COUNTIFS('Contribution Log'!$C$2:$C$601,Lists!$A$2,'Contribution Log'!$H$2:$H$601,"Documentation")</f>
        <v>0</v>
      </c>
      <c r="H11" s="11">
        <f>SUMPRODUCT((COUNTIFS('Contribution Log'!$J$2:$J$601,Lists!$K$3:$K$61,'Contribution Log'!$C$2:$C$601,Lists!$A$2,'Contribution Log'!$Q$2:$Q$601,"Yes - story complete")&gt;0)*1)</f>
        <v>0</v>
      </c>
      <c r="I11" s="17" t="str">
        <f>IF(COUNTIF('Contribution Log'!$C$2:$C$601,Lists!$A$2)=0,"",SUMPRODUCT(MIN(('Contribution Log'!$C$2:$C$601=Lists!$A$2)*'Contribution Log'!$A$2:$A$601+('Contribution Log'!$C$2:$C$601&lt;&gt;Lists!$A$2)*300000)))</f>
        <v/>
      </c>
      <c r="J11" s="17" t="str">
        <f>IF(COUNTIF('Contribution Log'!$C$2:$C$601,Lists!$A$2)=0,"",SUMPRODUCT(MAX(('Contribution Log'!$C$2:$C$601=Lists!$A$2)*'Contribution Log'!$A$2:$A$601)))</f>
        <v/>
      </c>
      <c r="K11" s="18">
        <f>IFERROR(COUNTIF('Contribution Log'!$C$2:$C$601,Lists!$A$2)/COUNTA('Contribution Log'!$C$2:$C$601),"")</f>
        <v>0</v>
      </c>
    </row>
    <row r="12" spans="2:13" x14ac:dyDescent="0.25">
      <c r="B12" s="16" t="str">
        <f>Lists!$A$3</f>
        <v>Parth</v>
      </c>
      <c r="C12" s="11">
        <f>COUNTIF('Contribution Log'!$C$2:$C$601,Lists!$A$3)</f>
        <v>0</v>
      </c>
      <c r="D12" s="11">
        <f>COUNTIF('Contribution Log'!$D$2:$D$601,Lists!$A$3)</f>
        <v>0</v>
      </c>
      <c r="E12" s="11">
        <f>COUNTIFS('Contribution Log'!$C$2:$C$601,Lists!$A$3,'Contribution Log'!$H$2:$H$601,"Feature")</f>
        <v>0</v>
      </c>
      <c r="F12" s="11">
        <f>COUNTIFS('Contribution Log'!$C$2:$C$601,Lists!$A$3,'Contribution Log'!$H$2:$H$601,"Defect fix")</f>
        <v>0</v>
      </c>
      <c r="G12" s="11">
        <f>COUNTIFS('Contribution Log'!$C$2:$C$601,Lists!$A$3,'Contribution Log'!$H$2:$H$601,"Tests")+COUNTIFS('Contribution Log'!$C$2:$C$601,Lists!$A$3,'Contribution Log'!$H$2:$H$601,"Documentation")</f>
        <v>0</v>
      </c>
      <c r="H12" s="11">
        <f>SUMPRODUCT((COUNTIFS('Contribution Log'!$J$2:$J$601,Lists!$K$3:$K$61,'Contribution Log'!$C$2:$C$601,Lists!$A$3,'Contribution Log'!$Q$2:$Q$601,"Yes - story complete")&gt;0)*1)</f>
        <v>0</v>
      </c>
      <c r="I12" s="17" t="str">
        <f>IF(COUNTIF('Contribution Log'!$C$2:$C$601,Lists!$A$3)=0,"",SUMPRODUCT(MIN(('Contribution Log'!$C$2:$C$601=Lists!$A$3)*'Contribution Log'!$A$2:$A$601+('Contribution Log'!$C$2:$C$601&lt;&gt;Lists!$A$3)*300000)))</f>
        <v/>
      </c>
      <c r="J12" s="17" t="str">
        <f>IF(COUNTIF('Contribution Log'!$C$2:$C$601,Lists!$A$3)=0,"",SUMPRODUCT(MAX(('Contribution Log'!$C$2:$C$601=Lists!$A$3)*'Contribution Log'!$A$2:$A$601)))</f>
        <v/>
      </c>
      <c r="K12" s="18">
        <f>IFERROR(COUNTIF('Contribution Log'!$C$2:$C$601,Lists!$A$3)/COUNTA('Contribution Log'!$C$2:$C$601),"")</f>
        <v>0</v>
      </c>
    </row>
    <row r="13" spans="2:13" x14ac:dyDescent="0.25">
      <c r="B13" s="16" t="str">
        <f>Lists!$A$4</f>
        <v>Jingwei Lin</v>
      </c>
      <c r="C13" s="11">
        <f>COUNTIF('Contribution Log'!$C$2:$C$601,Lists!$A$4)</f>
        <v>1</v>
      </c>
      <c r="D13" s="11">
        <f>COUNTIF('Contribution Log'!$D$2:$D$601,Lists!$A$4)</f>
        <v>1</v>
      </c>
      <c r="E13" s="11">
        <f>COUNTIFS('Contribution Log'!$C$2:$C$601,Lists!$A$4,'Contribution Log'!$H$2:$H$601,"Feature")</f>
        <v>1</v>
      </c>
      <c r="F13" s="11">
        <f>COUNTIFS('Contribution Log'!$C$2:$C$601,Lists!$A$4,'Contribution Log'!$H$2:$H$601,"Defect fix")</f>
        <v>0</v>
      </c>
      <c r="G13" s="11">
        <f>COUNTIFS('Contribution Log'!$C$2:$C$601,Lists!$A$4,'Contribution Log'!$H$2:$H$601,"Tests")+COUNTIFS('Contribution Log'!$C$2:$C$601,Lists!$A$4,'Contribution Log'!$H$2:$H$601,"Documentation")</f>
        <v>0</v>
      </c>
      <c r="H13" s="11">
        <f>SUMPRODUCT((COUNTIFS('Contribution Log'!$J$2:$J$601,Lists!$K$3:$K$61,'Contribution Log'!$C$2:$C$601,Lists!$A$4,'Contribution Log'!$Q$2:$Q$601,"Yes - story complete")&gt;0)*1)</f>
        <v>1</v>
      </c>
      <c r="I13" s="17">
        <f>IF(COUNTIF('Contribution Log'!$C$2:$C$601,Lists!$A$4)=0,"",SUMPRODUCT(MIN(('Contribution Log'!$C$2:$C$601=Lists!$A$4)*'Contribution Log'!$A$2:$A$601+('Contribution Log'!$C$2:$C$601&lt;&gt;Lists!$A$4)*300000)))</f>
        <v>46272</v>
      </c>
      <c r="J13" s="17">
        <f>IF(COUNTIF('Contribution Log'!$C$2:$C$601,Lists!$A$4)=0,"",SUMPRODUCT(MAX(('Contribution Log'!$C$2:$C$601=Lists!$A$4)*'Contribution Log'!$A$2:$A$601)))</f>
        <v>46272</v>
      </c>
      <c r="K13" s="18">
        <f>IFERROR(COUNTIF('Contribution Log'!$C$2:$C$601,Lists!$A$4)/COUNTA('Contribution Log'!$C$2:$C$601),"")</f>
        <v>0.33333333333333331</v>
      </c>
    </row>
    <row r="14" spans="2:13" x14ac:dyDescent="0.25">
      <c r="B14" s="16" t="str">
        <f>Lists!$A$5</f>
        <v>Hanchen Wang</v>
      </c>
      <c r="C14" s="11">
        <f>COUNTIF('Contribution Log'!$C$2:$C$601,Lists!$A$5)</f>
        <v>1</v>
      </c>
      <c r="D14" s="11">
        <f>COUNTIF('Contribution Log'!$D$2:$D$601,Lists!$A$5)</f>
        <v>1</v>
      </c>
      <c r="E14" s="11">
        <f>COUNTIFS('Contribution Log'!$C$2:$C$601,Lists!$A$5,'Contribution Log'!$H$2:$H$601,"Feature")</f>
        <v>0</v>
      </c>
      <c r="F14" s="11">
        <f>COUNTIFS('Contribution Log'!$C$2:$C$601,Lists!$A$5,'Contribution Log'!$H$2:$H$601,"Defect fix")</f>
        <v>0</v>
      </c>
      <c r="G14" s="11">
        <f>COUNTIFS('Contribution Log'!$C$2:$C$601,Lists!$A$5,'Contribution Log'!$H$2:$H$601,"Tests")+COUNTIFS('Contribution Log'!$C$2:$C$601,Lists!$A$5,'Contribution Log'!$H$2:$H$601,"Documentation")</f>
        <v>0</v>
      </c>
      <c r="H14" s="11">
        <f>SUMPRODUCT((COUNTIFS('Contribution Log'!$J$2:$J$601,Lists!$K$3:$K$61,'Contribution Log'!$C$2:$C$601,Lists!$A$5,'Contribution Log'!$Q$2:$Q$601,"Yes - story complete")&gt;0)*1)</f>
        <v>1</v>
      </c>
      <c r="I14" s="17">
        <f>IF(COUNTIF('Contribution Log'!$C$2:$C$601,Lists!$A$5)=0,"",SUMPRODUCT(MIN(('Contribution Log'!$C$2:$C$601=Lists!$A$5)*'Contribution Log'!$A$2:$A$601+('Contribution Log'!$C$2:$C$601&lt;&gt;Lists!$A$5)*300000)))</f>
        <v>46272</v>
      </c>
      <c r="J14" s="17">
        <f>IF(COUNTIF('Contribution Log'!$C$2:$C$601,Lists!$A$5)=0,"",SUMPRODUCT(MAX(('Contribution Log'!$C$2:$C$601=Lists!$A$5)*'Contribution Log'!$A$2:$A$601)))</f>
        <v>46272</v>
      </c>
      <c r="K14" s="18">
        <f>IFERROR(COUNTIF('Contribution Log'!$C$2:$C$601,Lists!$A$5)/COUNTA('Contribution Log'!$C$2:$C$601),"")</f>
        <v>0.33333333333333331</v>
      </c>
    </row>
    <row r="15" spans="2:13" x14ac:dyDescent="0.25">
      <c r="B15" s="16" t="str">
        <f>Lists!$A$6</f>
        <v>Yi Geng</v>
      </c>
      <c r="C15" s="11">
        <f>COUNTIF('Contribution Log'!$C$2:$C$601,Lists!$A$6)</f>
        <v>1</v>
      </c>
      <c r="D15" s="11">
        <f>COUNTIF('Contribution Log'!$D$2:$D$601,Lists!$A$6)</f>
        <v>1</v>
      </c>
      <c r="E15" s="11">
        <f>COUNTIFS('Contribution Log'!$C$2:$C$601,Lists!$A$6,'Contribution Log'!$H$2:$H$601,"Feature")</f>
        <v>0</v>
      </c>
      <c r="F15" s="11">
        <f>COUNTIFS('Contribution Log'!$C$2:$C$601,Lists!$A$6,'Contribution Log'!$H$2:$H$601,"Defect fix")</f>
        <v>0</v>
      </c>
      <c r="G15" s="11">
        <f>COUNTIFS('Contribution Log'!$C$2:$C$601,Lists!$A$6,'Contribution Log'!$H$2:$H$601,"Tests")+COUNTIFS('Contribution Log'!$C$2:$C$601,Lists!$A$6,'Contribution Log'!$H$2:$H$601,"Documentation")</f>
        <v>0</v>
      </c>
      <c r="H15" s="11">
        <f>SUMPRODUCT((COUNTIFS('Contribution Log'!$J$2:$J$601,Lists!$K$3:$K$61,'Contribution Log'!$C$2:$C$601,Lists!$A$6,'Contribution Log'!$Q$2:$Q$601,"Yes - story complete")&gt;0)*1)</f>
        <v>0</v>
      </c>
      <c r="I15" s="17">
        <f>IF(COUNTIF('Contribution Log'!$C$2:$C$601,Lists!$A$6)=0,"",SUMPRODUCT(MIN(('Contribution Log'!$C$2:$C$601=Lists!$A$6)*'Contribution Log'!$A$2:$A$601+('Contribution Log'!$C$2:$C$601&lt;&gt;Lists!$A$6)*300000)))</f>
        <v>46262</v>
      </c>
      <c r="J15" s="17">
        <f>IF(COUNTIF('Contribution Log'!$C$2:$C$601,Lists!$A$6)=0,"",SUMPRODUCT(MAX(('Contribution Log'!$C$2:$C$601=Lists!$A$6)*'Contribution Log'!$A$2:$A$601)))</f>
        <v>46262</v>
      </c>
      <c r="K15" s="18">
        <f>IFERROR(COUNTIF('Contribution Log'!$C$2:$C$601,Lists!$A$6)/COUNTA('Contribution Log'!$C$2:$C$601),"")</f>
        <v>0.33333333333333331</v>
      </c>
    </row>
    <row r="16" spans="2:13" x14ac:dyDescent="0.25">
      <c r="B16" s="16" t="str">
        <f>Lists!$A$7</f>
        <v>Dishank Aswal</v>
      </c>
      <c r="C16" s="11">
        <f>COUNTIF('Contribution Log'!$C$2:$C$601,Lists!$A$7)</f>
        <v>0</v>
      </c>
      <c r="D16" s="11">
        <f>COUNTIF('Contribution Log'!$D$2:$D$601,Lists!$A$7)</f>
        <v>0</v>
      </c>
      <c r="E16" s="11">
        <f>COUNTIFS('Contribution Log'!$C$2:$C$601,Lists!$A$7,'Contribution Log'!$H$2:$H$601,"Feature")</f>
        <v>0</v>
      </c>
      <c r="F16" s="11">
        <f>COUNTIFS('Contribution Log'!$C$2:$C$601,Lists!$A$7,'Contribution Log'!$H$2:$H$601,"Defect fix")</f>
        <v>0</v>
      </c>
      <c r="G16" s="11">
        <f>COUNTIFS('Contribution Log'!$C$2:$C$601,Lists!$A$7,'Contribution Log'!$H$2:$H$601,"Tests")+COUNTIFS('Contribution Log'!$C$2:$C$601,Lists!$A$7,'Contribution Log'!$H$2:$H$601,"Documentation")</f>
        <v>0</v>
      </c>
      <c r="H16" s="11">
        <f>SUMPRODUCT((COUNTIFS('Contribution Log'!$J$2:$J$601,Lists!$K$3:$K$61,'Contribution Log'!$C$2:$C$601,Lists!$A$7,'Contribution Log'!$Q$2:$Q$601,"Yes - story complete")&gt;0)*1)</f>
        <v>0</v>
      </c>
      <c r="I16" s="17" t="str">
        <f>IF(COUNTIF('Contribution Log'!$C$2:$C$601,Lists!$A$7)=0,"",SUMPRODUCT(MIN(('Contribution Log'!$C$2:$C$601=Lists!$A$7)*'Contribution Log'!$A$2:$A$601+('Contribution Log'!$C$2:$C$601&lt;&gt;Lists!$A$7)*300000)))</f>
        <v/>
      </c>
      <c r="J16" s="17" t="str">
        <f>IF(COUNTIF('Contribution Log'!$C$2:$C$601,Lists!$A$7)=0,"",SUMPRODUCT(MAX(('Contribution Log'!$C$2:$C$601=Lists!$A$7)*'Contribution Log'!$A$2:$A$601)))</f>
        <v/>
      </c>
      <c r="K16" s="18">
        <f>IFERROR(COUNTIF('Contribution Log'!$C$2:$C$601,Lists!$A$7)/COUNTA('Contribution Log'!$C$2:$C$601),"")</f>
        <v>0</v>
      </c>
    </row>
    <row r="17" spans="2:11" x14ac:dyDescent="0.25">
      <c r="B17" s="16" t="str">
        <f>Lists!$A$8</f>
        <v>Kanishka Kathait</v>
      </c>
      <c r="C17" s="11">
        <f>COUNTIF('Contribution Log'!$C$2:$C$601,Lists!$A$8)</f>
        <v>0</v>
      </c>
      <c r="D17" s="11">
        <f>COUNTIF('Contribution Log'!$D$2:$D$601,Lists!$A$8)</f>
        <v>0</v>
      </c>
      <c r="E17" s="11">
        <f>COUNTIFS('Contribution Log'!$C$2:$C$601,Lists!$A$8,'Contribution Log'!$H$2:$H$601,"Feature")</f>
        <v>0</v>
      </c>
      <c r="F17" s="11">
        <f>COUNTIFS('Contribution Log'!$C$2:$C$601,Lists!$A$8,'Contribution Log'!$H$2:$H$601,"Defect fix")</f>
        <v>0</v>
      </c>
      <c r="G17" s="11">
        <f>COUNTIFS('Contribution Log'!$C$2:$C$601,Lists!$A$8,'Contribution Log'!$H$2:$H$601,"Tests")+COUNTIFS('Contribution Log'!$C$2:$C$601,Lists!$A$8,'Contribution Log'!$H$2:$H$601,"Documentation")</f>
        <v>0</v>
      </c>
      <c r="H17" s="11">
        <f>SUMPRODUCT((COUNTIFS('Contribution Log'!$J$2:$J$601,Lists!$K$3:$K$61,'Contribution Log'!$C$2:$C$601,Lists!$A$8,'Contribution Log'!$Q$2:$Q$601,"Yes - story complete")&gt;0)*1)</f>
        <v>0</v>
      </c>
      <c r="I17" s="17" t="str">
        <f>IF(COUNTIF('Contribution Log'!$C$2:$C$601,Lists!$A$8)=0,"",SUMPRODUCT(MIN(('Contribution Log'!$C$2:$C$601=Lists!$A$8)*'Contribution Log'!$A$2:$A$601+('Contribution Log'!$C$2:$C$601&lt;&gt;Lists!$A$8)*300000)))</f>
        <v/>
      </c>
      <c r="J17" s="17" t="str">
        <f>IF(COUNTIF('Contribution Log'!$C$2:$C$601,Lists!$A$8)=0,"",SUMPRODUCT(MAX(('Contribution Log'!$C$2:$C$601=Lists!$A$8)*'Contribution Log'!$A$2:$A$601)))</f>
        <v/>
      </c>
      <c r="K17" s="18">
        <f>IFERROR(COUNTIF('Contribution Log'!$C$2:$C$601,Lists!$A$8)/COUNTA('Contribution Log'!$C$2:$C$601),"")</f>
        <v>0</v>
      </c>
    </row>
    <row r="18" spans="2:11" x14ac:dyDescent="0.25">
      <c r="B18" s="16" t="str">
        <f>Lists!$A$9</f>
        <v>Tok Tin Chung</v>
      </c>
      <c r="C18" s="11">
        <f>COUNTIF('Contribution Log'!$C$2:$C$601,Lists!$A$9)</f>
        <v>0</v>
      </c>
      <c r="D18" s="11">
        <f>COUNTIF('Contribution Log'!$D$2:$D$601,Lists!$A$9)</f>
        <v>0</v>
      </c>
      <c r="E18" s="11">
        <f>COUNTIFS('Contribution Log'!$C$2:$C$601,Lists!$A$9,'Contribution Log'!$H$2:$H$601,"Feature")</f>
        <v>0</v>
      </c>
      <c r="F18" s="11">
        <f>COUNTIFS('Contribution Log'!$C$2:$C$601,Lists!$A$9,'Contribution Log'!$H$2:$H$601,"Defect fix")</f>
        <v>0</v>
      </c>
      <c r="G18" s="11">
        <f>COUNTIFS('Contribution Log'!$C$2:$C$601,Lists!$A$9,'Contribution Log'!$H$2:$H$601,"Tests")+COUNTIFS('Contribution Log'!$C$2:$C$601,Lists!$A$9,'Contribution Log'!$H$2:$H$601,"Documentation")</f>
        <v>0</v>
      </c>
      <c r="H18" s="11">
        <f>SUMPRODUCT((COUNTIFS('Contribution Log'!$J$2:$J$601,Lists!$K$3:$K$61,'Contribution Log'!$C$2:$C$601,Lists!$A$9,'Contribution Log'!$Q$2:$Q$601,"Yes - story complete")&gt;0)*1)</f>
        <v>0</v>
      </c>
      <c r="I18" s="17" t="str">
        <f>IF(COUNTIF('Contribution Log'!$C$2:$C$601,Lists!$A$9)=0,"",SUMPRODUCT(MIN(('Contribution Log'!$C$2:$C$601=Lists!$A$9)*'Contribution Log'!$A$2:$A$601+('Contribution Log'!$C$2:$C$601&lt;&gt;Lists!$A$9)*300000)))</f>
        <v/>
      </c>
      <c r="J18" s="17" t="str">
        <f>IF(COUNTIF('Contribution Log'!$C$2:$C$601,Lists!$A$9)=0,"",SUMPRODUCT(MAX(('Contribution Log'!$C$2:$C$601=Lists!$A$9)*'Contribution Log'!$A$2:$A$601)))</f>
        <v/>
      </c>
      <c r="K18" s="18">
        <f>IFERROR(COUNTIF('Contribution Log'!$C$2:$C$601,Lists!$A$9)/COUNTA('Contribution Log'!$C$2:$C$601),"")</f>
        <v>0</v>
      </c>
    </row>
    <row r="19" spans="2:11" ht="14.5" x14ac:dyDescent="0.3">
      <c r="B19" s="19" t="s">
        <v>101</v>
      </c>
      <c r="C19" s="20">
        <f>SUM(C11:C18)</f>
        <v>3</v>
      </c>
      <c r="D19" s="20">
        <f>SUM(D11:D18)</f>
        <v>3</v>
      </c>
      <c r="E19" s="20">
        <f>SUM(E11:E18)</f>
        <v>1</v>
      </c>
      <c r="F19" s="20">
        <f>SUM(F11:F18)</f>
        <v>0</v>
      </c>
      <c r="G19" s="20">
        <f>SUM(G11:G18)</f>
        <v>0</v>
      </c>
      <c r="H19" s="21">
        <f>SUMPRODUCT((COUNTIFS('Contribution Log'!$J$2:$J$601,Lists!$K$3:$K$61,'Contribution Log'!$Q$2:$Q$601,"Yes - story complete")&gt;0)*1)</f>
        <v>2</v>
      </c>
      <c r="I19" s="19"/>
      <c r="J19" s="19"/>
      <c r="K19" s="19"/>
    </row>
    <row r="20" spans="2:11" ht="14.5" x14ac:dyDescent="0.3">
      <c r="B20" s="22" t="s">
        <v>102</v>
      </c>
    </row>
    <row r="22" spans="2:11" ht="15.5" x14ac:dyDescent="0.35">
      <c r="B22" s="15" t="s">
        <v>103</v>
      </c>
      <c r="H22" s="22" t="s">
        <v>104</v>
      </c>
    </row>
    <row r="23" spans="2:11" ht="34" customHeight="1" x14ac:dyDescent="0.25">
      <c r="B23" s="7" t="s">
        <v>75</v>
      </c>
      <c r="C23" s="7" t="str">
        <f>Lists!$A$2</f>
        <v>Michael Max</v>
      </c>
      <c r="D23" s="7" t="str">
        <f>Lists!$A$3</f>
        <v>Parth</v>
      </c>
      <c r="E23" s="7" t="str">
        <f>Lists!$A$4</f>
        <v>Jingwei Lin</v>
      </c>
      <c r="F23" s="7" t="str">
        <f>Lists!$A$5</f>
        <v>Hanchen Wang</v>
      </c>
      <c r="G23" s="7" t="str">
        <f>Lists!$A$6</f>
        <v>Yi Geng</v>
      </c>
      <c r="H23" s="7" t="str">
        <f>Lists!$A$7</f>
        <v>Dishank Aswal</v>
      </c>
      <c r="I23" s="7" t="str">
        <f>Lists!$A$8</f>
        <v>Kanishka Kathait</v>
      </c>
      <c r="J23" s="7" t="str">
        <f>Lists!$A$9</f>
        <v>Tok Tin Chung</v>
      </c>
      <c r="K23" s="7" t="s">
        <v>105</v>
      </c>
    </row>
    <row r="24" spans="2:11" x14ac:dyDescent="0.25">
      <c r="B24" s="20" t="s">
        <v>106</v>
      </c>
      <c r="C24" s="11">
        <f>COUNTIFS('Contribution Log'!$B$2:$B$601,"W1",'Contribution Log'!$C$2:$C$601,Lists!$A$2)</f>
        <v>0</v>
      </c>
      <c r="D24" s="11">
        <f>COUNTIFS('Contribution Log'!$B$2:$B$601,"W1",'Contribution Log'!$C$2:$C$601,Lists!$A$3)</f>
        <v>0</v>
      </c>
      <c r="E24" s="11">
        <f>COUNTIFS('Contribution Log'!$B$2:$B$601,"W1",'Contribution Log'!$C$2:$C$601,Lists!$A$4)</f>
        <v>0</v>
      </c>
      <c r="F24" s="11">
        <f>COUNTIFS('Contribution Log'!$B$2:$B$601,"W1",'Contribution Log'!$C$2:$C$601,Lists!$A$5)</f>
        <v>0</v>
      </c>
      <c r="G24" s="11">
        <f>COUNTIFS('Contribution Log'!$B$2:$B$601,"W1",'Contribution Log'!$C$2:$C$601,Lists!$A$6)</f>
        <v>0</v>
      </c>
      <c r="H24" s="11">
        <f>COUNTIFS('Contribution Log'!$B$2:$B$601,"W1",'Contribution Log'!$C$2:$C$601,Lists!$A$7)</f>
        <v>0</v>
      </c>
      <c r="I24" s="11">
        <f>COUNTIFS('Contribution Log'!$B$2:$B$601,"W1",'Contribution Log'!$C$2:$C$601,Lists!$A$8)</f>
        <v>0</v>
      </c>
      <c r="J24" s="11">
        <f>COUNTIFS('Contribution Log'!$B$2:$B$601,"W1",'Contribution Log'!$C$2:$C$601,Lists!$A$9)</f>
        <v>0</v>
      </c>
      <c r="K24" s="23">
        <f>COUNTIF('Contribution Log'!$B$2:$B$601,"W1")</f>
        <v>0</v>
      </c>
    </row>
    <row r="25" spans="2:11" x14ac:dyDescent="0.25">
      <c r="B25" s="20" t="s">
        <v>107</v>
      </c>
      <c r="C25" s="11">
        <f>COUNTIFS('Contribution Log'!$B$2:$B$601,"W2",'Contribution Log'!$C$2:$C$601,Lists!$A$2)</f>
        <v>0</v>
      </c>
      <c r="D25" s="11">
        <f>COUNTIFS('Contribution Log'!$B$2:$B$601,"W2",'Contribution Log'!$C$2:$C$601,Lists!$A$3)</f>
        <v>0</v>
      </c>
      <c r="E25" s="11">
        <f>COUNTIFS('Contribution Log'!$B$2:$B$601,"W2",'Contribution Log'!$C$2:$C$601,Lists!$A$4)</f>
        <v>0</v>
      </c>
      <c r="F25" s="11">
        <f>COUNTIFS('Contribution Log'!$B$2:$B$601,"W2",'Contribution Log'!$C$2:$C$601,Lists!$A$5)</f>
        <v>0</v>
      </c>
      <c r="G25" s="11">
        <f>COUNTIFS('Contribution Log'!$B$2:$B$601,"W2",'Contribution Log'!$C$2:$C$601,Lists!$A$6)</f>
        <v>0</v>
      </c>
      <c r="H25" s="11">
        <f>COUNTIFS('Contribution Log'!$B$2:$B$601,"W2",'Contribution Log'!$C$2:$C$601,Lists!$A$7)</f>
        <v>0</v>
      </c>
      <c r="I25" s="11">
        <f>COUNTIFS('Contribution Log'!$B$2:$B$601,"W2",'Contribution Log'!$C$2:$C$601,Lists!$A$8)</f>
        <v>0</v>
      </c>
      <c r="J25" s="11">
        <f>COUNTIFS('Contribution Log'!$B$2:$B$601,"W2",'Contribution Log'!$C$2:$C$601,Lists!$A$9)</f>
        <v>0</v>
      </c>
      <c r="K25" s="23">
        <f>COUNTIF('Contribution Log'!$B$2:$B$601,"W2")</f>
        <v>0</v>
      </c>
    </row>
    <row r="26" spans="2:11" x14ac:dyDescent="0.25">
      <c r="B26" s="20" t="s">
        <v>108</v>
      </c>
      <c r="C26" s="11">
        <f>COUNTIFS('Contribution Log'!$B$2:$B$601,"W3",'Contribution Log'!$C$2:$C$601,Lists!$A$2)</f>
        <v>0</v>
      </c>
      <c r="D26" s="11">
        <f>COUNTIFS('Contribution Log'!$B$2:$B$601,"W3",'Contribution Log'!$C$2:$C$601,Lists!$A$3)</f>
        <v>0</v>
      </c>
      <c r="E26" s="11">
        <f>COUNTIFS('Contribution Log'!$B$2:$B$601,"W3",'Contribution Log'!$C$2:$C$601,Lists!$A$4)</f>
        <v>0</v>
      </c>
      <c r="F26" s="11">
        <f>COUNTIFS('Contribution Log'!$B$2:$B$601,"W3",'Contribution Log'!$C$2:$C$601,Lists!$A$5)</f>
        <v>0</v>
      </c>
      <c r="G26" s="11">
        <f>COUNTIFS('Contribution Log'!$B$2:$B$601,"W3",'Contribution Log'!$C$2:$C$601,Lists!$A$6)</f>
        <v>0</v>
      </c>
      <c r="H26" s="11">
        <f>COUNTIFS('Contribution Log'!$B$2:$B$601,"W3",'Contribution Log'!$C$2:$C$601,Lists!$A$7)</f>
        <v>0</v>
      </c>
      <c r="I26" s="11">
        <f>COUNTIFS('Contribution Log'!$B$2:$B$601,"W3",'Contribution Log'!$C$2:$C$601,Lists!$A$8)</f>
        <v>0</v>
      </c>
      <c r="J26" s="11">
        <f>COUNTIFS('Contribution Log'!$B$2:$B$601,"W3",'Contribution Log'!$C$2:$C$601,Lists!$A$9)</f>
        <v>0</v>
      </c>
      <c r="K26" s="23">
        <f>COUNTIF('Contribution Log'!$B$2:$B$601,"W3")</f>
        <v>0</v>
      </c>
    </row>
    <row r="27" spans="2:11" x14ac:dyDescent="0.25">
      <c r="B27" s="20" t="s">
        <v>109</v>
      </c>
      <c r="C27" s="11">
        <f>COUNTIFS('Contribution Log'!$B$2:$B$601,"W4",'Contribution Log'!$C$2:$C$601,Lists!$A$2)</f>
        <v>0</v>
      </c>
      <c r="D27" s="11">
        <f>COUNTIFS('Contribution Log'!$B$2:$B$601,"W4",'Contribution Log'!$C$2:$C$601,Lists!$A$3)</f>
        <v>0</v>
      </c>
      <c r="E27" s="11">
        <f>COUNTIFS('Contribution Log'!$B$2:$B$601,"W4",'Contribution Log'!$C$2:$C$601,Lists!$A$4)</f>
        <v>0</v>
      </c>
      <c r="F27" s="11">
        <f>COUNTIFS('Contribution Log'!$B$2:$B$601,"W4",'Contribution Log'!$C$2:$C$601,Lists!$A$5)</f>
        <v>0</v>
      </c>
      <c r="G27" s="11">
        <f>COUNTIFS('Contribution Log'!$B$2:$B$601,"W4",'Contribution Log'!$C$2:$C$601,Lists!$A$6)</f>
        <v>1</v>
      </c>
      <c r="H27" s="11">
        <f>COUNTIFS('Contribution Log'!$B$2:$B$601,"W4",'Contribution Log'!$C$2:$C$601,Lists!$A$7)</f>
        <v>0</v>
      </c>
      <c r="I27" s="11">
        <f>COUNTIFS('Contribution Log'!$B$2:$B$601,"W4",'Contribution Log'!$C$2:$C$601,Lists!$A$8)</f>
        <v>0</v>
      </c>
      <c r="J27" s="11">
        <f>COUNTIFS('Contribution Log'!$B$2:$B$601,"W4",'Contribution Log'!$C$2:$C$601,Lists!$A$9)</f>
        <v>0</v>
      </c>
      <c r="K27" s="23">
        <f>COUNTIF('Contribution Log'!$B$2:$B$601,"W4")</f>
        <v>1</v>
      </c>
    </row>
    <row r="28" spans="2:11" x14ac:dyDescent="0.25">
      <c r="B28" s="20" t="s">
        <v>110</v>
      </c>
      <c r="C28" s="11">
        <f>COUNTIFS('Contribution Log'!$B$2:$B$601,"W5",'Contribution Log'!$C$2:$C$601,Lists!$A$2)</f>
        <v>0</v>
      </c>
      <c r="D28" s="11">
        <f>COUNTIFS('Contribution Log'!$B$2:$B$601,"W5",'Contribution Log'!$C$2:$C$601,Lists!$A$3)</f>
        <v>0</v>
      </c>
      <c r="E28" s="11">
        <f>COUNTIFS('Contribution Log'!$B$2:$B$601,"W5",'Contribution Log'!$C$2:$C$601,Lists!$A$4)</f>
        <v>0</v>
      </c>
      <c r="F28" s="11">
        <f>COUNTIFS('Contribution Log'!$B$2:$B$601,"W5",'Contribution Log'!$C$2:$C$601,Lists!$A$5)</f>
        <v>0</v>
      </c>
      <c r="G28" s="11">
        <f>COUNTIFS('Contribution Log'!$B$2:$B$601,"W5",'Contribution Log'!$C$2:$C$601,Lists!$A$6)</f>
        <v>0</v>
      </c>
      <c r="H28" s="11">
        <f>COUNTIFS('Contribution Log'!$B$2:$B$601,"W5",'Contribution Log'!$C$2:$C$601,Lists!$A$7)</f>
        <v>0</v>
      </c>
      <c r="I28" s="11">
        <f>COUNTIFS('Contribution Log'!$B$2:$B$601,"W5",'Contribution Log'!$C$2:$C$601,Lists!$A$8)</f>
        <v>0</v>
      </c>
      <c r="J28" s="11">
        <f>COUNTIFS('Contribution Log'!$B$2:$B$601,"W5",'Contribution Log'!$C$2:$C$601,Lists!$A$9)</f>
        <v>0</v>
      </c>
      <c r="K28" s="23">
        <f>COUNTIF('Contribution Log'!$B$2:$B$601,"W5")</f>
        <v>0</v>
      </c>
    </row>
    <row r="29" spans="2:11" x14ac:dyDescent="0.25">
      <c r="B29" s="20" t="s">
        <v>111</v>
      </c>
      <c r="C29" s="11">
        <f>COUNTIFS('Contribution Log'!$B$2:$B$601,"W6",'Contribution Log'!$C$2:$C$601,Lists!$A$2)</f>
        <v>0</v>
      </c>
      <c r="D29" s="11">
        <f>COUNTIFS('Contribution Log'!$B$2:$B$601,"W6",'Contribution Log'!$C$2:$C$601,Lists!$A$3)</f>
        <v>0</v>
      </c>
      <c r="E29" s="11">
        <f>COUNTIFS('Contribution Log'!$B$2:$B$601,"W6",'Contribution Log'!$C$2:$C$601,Lists!$A$4)</f>
        <v>1</v>
      </c>
      <c r="F29" s="11">
        <f>COUNTIFS('Contribution Log'!$B$2:$B$601,"W6",'Contribution Log'!$C$2:$C$601,Lists!$A$5)</f>
        <v>1</v>
      </c>
      <c r="G29" s="11">
        <f>COUNTIFS('Contribution Log'!$B$2:$B$601,"W6",'Contribution Log'!$C$2:$C$601,Lists!$A$6)</f>
        <v>0</v>
      </c>
      <c r="H29" s="11">
        <f>COUNTIFS('Contribution Log'!$B$2:$B$601,"W6",'Contribution Log'!$C$2:$C$601,Lists!$A$7)</f>
        <v>0</v>
      </c>
      <c r="I29" s="11">
        <f>COUNTIFS('Contribution Log'!$B$2:$B$601,"W6",'Contribution Log'!$C$2:$C$601,Lists!$A$8)</f>
        <v>0</v>
      </c>
      <c r="J29" s="11">
        <f>COUNTIFS('Contribution Log'!$B$2:$B$601,"W6",'Contribution Log'!$C$2:$C$601,Lists!$A$9)</f>
        <v>0</v>
      </c>
      <c r="K29" s="23">
        <f>COUNTIF('Contribution Log'!$B$2:$B$601,"W6")</f>
        <v>2</v>
      </c>
    </row>
    <row r="30" spans="2:11" x14ac:dyDescent="0.25">
      <c r="B30" s="20" t="s">
        <v>112</v>
      </c>
      <c r="C30" s="11">
        <f>COUNTIFS('Contribution Log'!$B$2:$B$601,"W7",'Contribution Log'!$C$2:$C$601,Lists!$A$2)</f>
        <v>0</v>
      </c>
      <c r="D30" s="11">
        <f>COUNTIFS('Contribution Log'!$B$2:$B$601,"W7",'Contribution Log'!$C$2:$C$601,Lists!$A$3)</f>
        <v>0</v>
      </c>
      <c r="E30" s="11">
        <f>COUNTIFS('Contribution Log'!$B$2:$B$601,"W7",'Contribution Log'!$C$2:$C$601,Lists!$A$4)</f>
        <v>0</v>
      </c>
      <c r="F30" s="11">
        <f>COUNTIFS('Contribution Log'!$B$2:$B$601,"W7",'Contribution Log'!$C$2:$C$601,Lists!$A$5)</f>
        <v>0</v>
      </c>
      <c r="G30" s="11">
        <f>COUNTIFS('Contribution Log'!$B$2:$B$601,"W7",'Contribution Log'!$C$2:$C$601,Lists!$A$6)</f>
        <v>0</v>
      </c>
      <c r="H30" s="11">
        <f>COUNTIFS('Contribution Log'!$B$2:$B$601,"W7",'Contribution Log'!$C$2:$C$601,Lists!$A$7)</f>
        <v>0</v>
      </c>
      <c r="I30" s="11">
        <f>COUNTIFS('Contribution Log'!$B$2:$B$601,"W7",'Contribution Log'!$C$2:$C$601,Lists!$A$8)</f>
        <v>0</v>
      </c>
      <c r="J30" s="11">
        <f>COUNTIFS('Contribution Log'!$B$2:$B$601,"W7",'Contribution Log'!$C$2:$C$601,Lists!$A$9)</f>
        <v>0</v>
      </c>
      <c r="K30" s="23">
        <f>COUNTIF('Contribution Log'!$B$2:$B$601,"W7")</f>
        <v>0</v>
      </c>
    </row>
    <row r="31" spans="2:11" x14ac:dyDescent="0.25">
      <c r="B31" s="20" t="s">
        <v>113</v>
      </c>
      <c r="C31" s="11">
        <f>COUNTIFS('Contribution Log'!$B$2:$B$601,"W8",'Contribution Log'!$C$2:$C$601,Lists!$A$2)</f>
        <v>0</v>
      </c>
      <c r="D31" s="11">
        <f>COUNTIFS('Contribution Log'!$B$2:$B$601,"W8",'Contribution Log'!$C$2:$C$601,Lists!$A$3)</f>
        <v>0</v>
      </c>
      <c r="E31" s="11">
        <f>COUNTIFS('Contribution Log'!$B$2:$B$601,"W8",'Contribution Log'!$C$2:$C$601,Lists!$A$4)</f>
        <v>0</v>
      </c>
      <c r="F31" s="11">
        <f>COUNTIFS('Contribution Log'!$B$2:$B$601,"W8",'Contribution Log'!$C$2:$C$601,Lists!$A$5)</f>
        <v>0</v>
      </c>
      <c r="G31" s="11">
        <f>COUNTIFS('Contribution Log'!$B$2:$B$601,"W8",'Contribution Log'!$C$2:$C$601,Lists!$A$6)</f>
        <v>0</v>
      </c>
      <c r="H31" s="11">
        <f>COUNTIFS('Contribution Log'!$B$2:$B$601,"W8",'Contribution Log'!$C$2:$C$601,Lists!$A$7)</f>
        <v>0</v>
      </c>
      <c r="I31" s="11">
        <f>COUNTIFS('Contribution Log'!$B$2:$B$601,"W8",'Contribution Log'!$C$2:$C$601,Lists!$A$8)</f>
        <v>0</v>
      </c>
      <c r="J31" s="11">
        <f>COUNTIFS('Contribution Log'!$B$2:$B$601,"W8",'Contribution Log'!$C$2:$C$601,Lists!$A$9)</f>
        <v>0</v>
      </c>
      <c r="K31" s="23">
        <f>COUNTIF('Contribution Log'!$B$2:$B$601,"W8")</f>
        <v>0</v>
      </c>
    </row>
    <row r="32" spans="2:11" x14ac:dyDescent="0.25">
      <c r="B32" s="20" t="s">
        <v>114</v>
      </c>
      <c r="C32" s="11">
        <f>COUNTIFS('Contribution Log'!$B$2:$B$601,"W9",'Contribution Log'!$C$2:$C$601,Lists!$A$2)</f>
        <v>0</v>
      </c>
      <c r="D32" s="11">
        <f>COUNTIFS('Contribution Log'!$B$2:$B$601,"W9",'Contribution Log'!$C$2:$C$601,Lists!$A$3)</f>
        <v>0</v>
      </c>
      <c r="E32" s="11">
        <f>COUNTIFS('Contribution Log'!$B$2:$B$601,"W9",'Contribution Log'!$C$2:$C$601,Lists!$A$4)</f>
        <v>0</v>
      </c>
      <c r="F32" s="11">
        <f>COUNTIFS('Contribution Log'!$B$2:$B$601,"W9",'Contribution Log'!$C$2:$C$601,Lists!$A$5)</f>
        <v>0</v>
      </c>
      <c r="G32" s="11">
        <f>COUNTIFS('Contribution Log'!$B$2:$B$601,"W9",'Contribution Log'!$C$2:$C$601,Lists!$A$6)</f>
        <v>0</v>
      </c>
      <c r="H32" s="11">
        <f>COUNTIFS('Contribution Log'!$B$2:$B$601,"W9",'Contribution Log'!$C$2:$C$601,Lists!$A$7)</f>
        <v>0</v>
      </c>
      <c r="I32" s="11">
        <f>COUNTIFS('Contribution Log'!$B$2:$B$601,"W9",'Contribution Log'!$C$2:$C$601,Lists!$A$8)</f>
        <v>0</v>
      </c>
      <c r="J32" s="11">
        <f>COUNTIFS('Contribution Log'!$B$2:$B$601,"W9",'Contribution Log'!$C$2:$C$601,Lists!$A$9)</f>
        <v>0</v>
      </c>
      <c r="K32" s="23">
        <f>COUNTIF('Contribution Log'!$B$2:$B$601,"W9")</f>
        <v>0</v>
      </c>
    </row>
    <row r="33" spans="2:11" x14ac:dyDescent="0.25">
      <c r="B33" s="20" t="s">
        <v>115</v>
      </c>
      <c r="C33" s="11">
        <f>COUNTIFS('Contribution Log'!$B$2:$B$601,"W10",'Contribution Log'!$C$2:$C$601,Lists!$A$2)</f>
        <v>0</v>
      </c>
      <c r="D33" s="11">
        <f>COUNTIFS('Contribution Log'!$B$2:$B$601,"W10",'Contribution Log'!$C$2:$C$601,Lists!$A$3)</f>
        <v>0</v>
      </c>
      <c r="E33" s="11">
        <f>COUNTIFS('Contribution Log'!$B$2:$B$601,"W10",'Contribution Log'!$C$2:$C$601,Lists!$A$4)</f>
        <v>0</v>
      </c>
      <c r="F33" s="11">
        <f>COUNTIFS('Contribution Log'!$B$2:$B$601,"W10",'Contribution Log'!$C$2:$C$601,Lists!$A$5)</f>
        <v>0</v>
      </c>
      <c r="G33" s="11">
        <f>COUNTIFS('Contribution Log'!$B$2:$B$601,"W10",'Contribution Log'!$C$2:$C$601,Lists!$A$6)</f>
        <v>0</v>
      </c>
      <c r="H33" s="11">
        <f>COUNTIFS('Contribution Log'!$B$2:$B$601,"W10",'Contribution Log'!$C$2:$C$601,Lists!$A$7)</f>
        <v>0</v>
      </c>
      <c r="I33" s="11">
        <f>COUNTIFS('Contribution Log'!$B$2:$B$601,"W10",'Contribution Log'!$C$2:$C$601,Lists!$A$8)</f>
        <v>0</v>
      </c>
      <c r="J33" s="11">
        <f>COUNTIFS('Contribution Log'!$B$2:$B$601,"W10",'Contribution Log'!$C$2:$C$601,Lists!$A$9)</f>
        <v>0</v>
      </c>
      <c r="K33" s="23">
        <f>COUNTIF('Contribution Log'!$B$2:$B$601,"W10")</f>
        <v>0</v>
      </c>
    </row>
    <row r="34" spans="2:11" x14ac:dyDescent="0.25">
      <c r="B34" s="20" t="s">
        <v>116</v>
      </c>
      <c r="C34" s="11">
        <f>COUNTIFS('Contribution Log'!$B$2:$B$601,"W11",'Contribution Log'!$C$2:$C$601,Lists!$A$2)</f>
        <v>0</v>
      </c>
      <c r="D34" s="11">
        <f>COUNTIFS('Contribution Log'!$B$2:$B$601,"W11",'Contribution Log'!$C$2:$C$601,Lists!$A$3)</f>
        <v>0</v>
      </c>
      <c r="E34" s="11">
        <f>COUNTIFS('Contribution Log'!$B$2:$B$601,"W11",'Contribution Log'!$C$2:$C$601,Lists!$A$4)</f>
        <v>0</v>
      </c>
      <c r="F34" s="11">
        <f>COUNTIFS('Contribution Log'!$B$2:$B$601,"W11",'Contribution Log'!$C$2:$C$601,Lists!$A$5)</f>
        <v>0</v>
      </c>
      <c r="G34" s="11">
        <f>COUNTIFS('Contribution Log'!$B$2:$B$601,"W11",'Contribution Log'!$C$2:$C$601,Lists!$A$6)</f>
        <v>0</v>
      </c>
      <c r="H34" s="11">
        <f>COUNTIFS('Contribution Log'!$B$2:$B$601,"W11",'Contribution Log'!$C$2:$C$601,Lists!$A$7)</f>
        <v>0</v>
      </c>
      <c r="I34" s="11">
        <f>COUNTIFS('Contribution Log'!$B$2:$B$601,"W11",'Contribution Log'!$C$2:$C$601,Lists!$A$8)</f>
        <v>0</v>
      </c>
      <c r="J34" s="11">
        <f>COUNTIFS('Contribution Log'!$B$2:$B$601,"W11",'Contribution Log'!$C$2:$C$601,Lists!$A$9)</f>
        <v>0</v>
      </c>
      <c r="K34" s="23">
        <f>COUNTIF('Contribution Log'!$B$2:$B$601,"W11")</f>
        <v>0</v>
      </c>
    </row>
    <row r="35" spans="2:11" x14ac:dyDescent="0.25">
      <c r="B35" s="20" t="s">
        <v>117</v>
      </c>
      <c r="C35" s="11">
        <f>COUNTIFS('Contribution Log'!$B$2:$B$601,"W12",'Contribution Log'!$C$2:$C$601,Lists!$A$2)</f>
        <v>0</v>
      </c>
      <c r="D35" s="11">
        <f>COUNTIFS('Contribution Log'!$B$2:$B$601,"W12",'Contribution Log'!$C$2:$C$601,Lists!$A$3)</f>
        <v>0</v>
      </c>
      <c r="E35" s="11">
        <f>COUNTIFS('Contribution Log'!$B$2:$B$601,"W12",'Contribution Log'!$C$2:$C$601,Lists!$A$4)</f>
        <v>0</v>
      </c>
      <c r="F35" s="11">
        <f>COUNTIFS('Contribution Log'!$B$2:$B$601,"W12",'Contribution Log'!$C$2:$C$601,Lists!$A$5)</f>
        <v>0</v>
      </c>
      <c r="G35" s="11">
        <f>COUNTIFS('Contribution Log'!$B$2:$B$601,"W12",'Contribution Log'!$C$2:$C$601,Lists!$A$6)</f>
        <v>0</v>
      </c>
      <c r="H35" s="11">
        <f>COUNTIFS('Contribution Log'!$B$2:$B$601,"W12",'Contribution Log'!$C$2:$C$601,Lists!$A$7)</f>
        <v>0</v>
      </c>
      <c r="I35" s="11">
        <f>COUNTIFS('Contribution Log'!$B$2:$B$601,"W12",'Contribution Log'!$C$2:$C$601,Lists!$A$8)</f>
        <v>0</v>
      </c>
      <c r="J35" s="11">
        <f>COUNTIFS('Contribution Log'!$B$2:$B$601,"W12",'Contribution Log'!$C$2:$C$601,Lists!$A$9)</f>
        <v>0</v>
      </c>
      <c r="K35" s="23">
        <f>COUNTIF('Contribution Log'!$B$2:$B$601,"W12")</f>
        <v>0</v>
      </c>
    </row>
    <row r="36" spans="2:11" x14ac:dyDescent="0.25">
      <c r="B36" s="20" t="s">
        <v>118</v>
      </c>
      <c r="C36" s="11">
        <f>COUNTIFS('Contribution Log'!$B$2:$B$601,"W13",'Contribution Log'!$C$2:$C$601,Lists!$A$2)</f>
        <v>0</v>
      </c>
      <c r="D36" s="11">
        <f>COUNTIFS('Contribution Log'!$B$2:$B$601,"W13",'Contribution Log'!$C$2:$C$601,Lists!$A$3)</f>
        <v>0</v>
      </c>
      <c r="E36" s="11">
        <f>COUNTIFS('Contribution Log'!$B$2:$B$601,"W13",'Contribution Log'!$C$2:$C$601,Lists!$A$4)</f>
        <v>0</v>
      </c>
      <c r="F36" s="11">
        <f>COUNTIFS('Contribution Log'!$B$2:$B$601,"W13",'Contribution Log'!$C$2:$C$601,Lists!$A$5)</f>
        <v>0</v>
      </c>
      <c r="G36" s="11">
        <f>COUNTIFS('Contribution Log'!$B$2:$B$601,"W13",'Contribution Log'!$C$2:$C$601,Lists!$A$6)</f>
        <v>0</v>
      </c>
      <c r="H36" s="11">
        <f>COUNTIFS('Contribution Log'!$B$2:$B$601,"W13",'Contribution Log'!$C$2:$C$601,Lists!$A$7)</f>
        <v>0</v>
      </c>
      <c r="I36" s="11">
        <f>COUNTIFS('Contribution Log'!$B$2:$B$601,"W13",'Contribution Log'!$C$2:$C$601,Lists!$A$8)</f>
        <v>0</v>
      </c>
      <c r="J36" s="11">
        <f>COUNTIFS('Contribution Log'!$B$2:$B$601,"W13",'Contribution Log'!$C$2:$C$601,Lists!$A$9)</f>
        <v>0</v>
      </c>
      <c r="K36" s="23">
        <f>COUNTIF('Contribution Log'!$B$2:$B$601,"W13")</f>
        <v>0</v>
      </c>
    </row>
    <row r="38" spans="2:11" ht="15.5" x14ac:dyDescent="0.35">
      <c r="B38" s="15" t="s">
        <v>119</v>
      </c>
      <c r="H38" s="15" t="s">
        <v>120</v>
      </c>
    </row>
    <row r="39" spans="2:11" x14ac:dyDescent="0.25">
      <c r="B39" s="7" t="s">
        <v>79</v>
      </c>
      <c r="C39" s="7" t="s">
        <v>121</v>
      </c>
      <c r="E39" s="7" t="s">
        <v>36</v>
      </c>
      <c r="F39" s="7" t="s">
        <v>121</v>
      </c>
    </row>
    <row r="40" spans="2:11" ht="14.5" x14ac:dyDescent="0.3">
      <c r="B40" s="24" t="str">
        <f>Lists!$E$2</f>
        <v>hej-web (frontend)</v>
      </c>
      <c r="C40" s="11">
        <f>COUNTIF('Contribution Log'!$I$2:$I$601,Lists!$E$2)</f>
        <v>0</v>
      </c>
      <c r="E40" s="24" t="str">
        <f>Lists!$D$2</f>
        <v>Feature</v>
      </c>
      <c r="F40" s="11">
        <f>COUNTIF('Contribution Log'!$H$2:$H$601,Lists!$D$2)</f>
        <v>1</v>
      </c>
      <c r="H40" s="24" t="s">
        <v>122</v>
      </c>
      <c r="I40" s="25">
        <f>COUNTIF('Contribution Log'!$E$2:$E$601,"OK")</f>
        <v>2</v>
      </c>
    </row>
    <row r="41" spans="2:11" ht="14.5" x14ac:dyDescent="0.3">
      <c r="B41" s="24" t="str">
        <f>Lists!$E$3</f>
        <v>hej-api (backend)</v>
      </c>
      <c r="C41" s="11">
        <f>COUNTIF('Contribution Log'!$I$2:$I$601,Lists!$E$3)</f>
        <v>1</v>
      </c>
      <c r="E41" s="24" t="str">
        <f>Lists!$D$3</f>
        <v>Defect fix</v>
      </c>
      <c r="F41" s="11">
        <f>COUNTIF('Contribution Log'!$H$2:$H$601,Lists!$D$3)</f>
        <v>0</v>
      </c>
      <c r="H41" s="24" t="s">
        <v>123</v>
      </c>
      <c r="I41" s="25">
        <f>COUNTIF('Contribution Log'!$E$2:$E$601,"SELF-REVIEW")</f>
        <v>1</v>
      </c>
    </row>
    <row r="42" spans="2:11" ht="14.5" x14ac:dyDescent="0.3">
      <c r="B42" s="24" t="str">
        <f>Lists!$E$4</f>
        <v>packages/ui</v>
      </c>
      <c r="C42" s="11">
        <f>COUNTIF('Contribution Log'!$I$2:$I$601,Lists!$E$4)</f>
        <v>0</v>
      </c>
      <c r="E42" s="24" t="str">
        <f>Lists!$D$4</f>
        <v>Refactor</v>
      </c>
      <c r="F42" s="11">
        <f>COUNTIF('Contribution Log'!$H$2:$H$601,Lists!$D$4)</f>
        <v>1</v>
      </c>
      <c r="H42" s="24" t="s">
        <v>124</v>
      </c>
      <c r="I42" s="25">
        <f>SUMPRODUCT(('Contribution Log'!$C$2:$C$601&lt;&gt;"")*('Contribution Log'!$D$2:$D$601=""))</f>
        <v>0</v>
      </c>
    </row>
    <row r="43" spans="2:11" ht="14.5" x14ac:dyDescent="0.3">
      <c r="B43" s="24" t="str">
        <f>Lists!$E$5</f>
        <v>labeling_ai_assistnat_mvp (AI)</v>
      </c>
      <c r="C43" s="11">
        <f>COUNTIF('Contribution Log'!$I$2:$I$601,Lists!$E$5)</f>
        <v>0</v>
      </c>
      <c r="E43" s="24" t="str">
        <f>Lists!$D$5</f>
        <v>Tests</v>
      </c>
      <c r="F43" s="11">
        <f>COUNTIF('Contribution Log'!$H$2:$H$601,Lists!$D$5)</f>
        <v>0</v>
      </c>
      <c r="H43" s="24" t="s">
        <v>125</v>
      </c>
      <c r="I43" s="25">
        <f>SUMPRODUCT(('Contribution Log'!$C$2:$C$601&lt;&gt;"")*('Contribution Log'!$J$2:$J$601=""))</f>
        <v>1</v>
      </c>
    </row>
    <row r="44" spans="2:11" ht="14.5" x14ac:dyDescent="0.3">
      <c r="B44" s="24" t="str">
        <f>Lists!$E$6</f>
        <v>Database / schema</v>
      </c>
      <c r="C44" s="11">
        <f>COUNTIF('Contribution Log'!$I$2:$I$601,Lists!$E$6)</f>
        <v>0</v>
      </c>
      <c r="E44" s="24" t="str">
        <f>Lists!$D$6</f>
        <v>Documentation</v>
      </c>
      <c r="F44" s="11">
        <f>COUNTIF('Contribution Log'!$H$2:$H$601,Lists!$D$6)</f>
        <v>0</v>
      </c>
      <c r="H44" s="24" t="s">
        <v>126</v>
      </c>
      <c r="I44" s="25">
        <f>SUMPRODUCT(('Contribution Log'!$C$2:$C$601&lt;&gt;"")*('Contribution Log'!$P$2:$P$601=""))</f>
        <v>2</v>
      </c>
    </row>
    <row r="45" spans="2:11" ht="14.5" x14ac:dyDescent="0.3">
      <c r="B45" s="24" t="str">
        <f>Lists!$E$7</f>
        <v>CI / tooling</v>
      </c>
      <c r="C45" s="11">
        <f>COUNTIF('Contribution Log'!$I$2:$I$601,Lists!$E$7)</f>
        <v>1</v>
      </c>
      <c r="E45" s="24" t="str">
        <f>Lists!$D$7</f>
        <v>Spike / Research</v>
      </c>
      <c r="F45" s="11">
        <f>COUNTIF('Contribution Log'!$H$2:$H$601,Lists!$D$7)</f>
        <v>0</v>
      </c>
    </row>
    <row r="46" spans="2:11" ht="14.5" x14ac:dyDescent="0.3">
      <c r="B46" s="24" t="str">
        <f>Lists!$E$8</f>
        <v>Docs / report</v>
      </c>
      <c r="C46" s="11">
        <f>COUNTIF('Contribution Log'!$I$2:$I$601,Lists!$E$8)</f>
        <v>0</v>
      </c>
      <c r="E46" s="24" t="str">
        <f>Lists!$D$8</f>
        <v>DevOps / CI</v>
      </c>
      <c r="F46" s="11">
        <f>COUNTIF('Contribution Log'!$H$2:$H$601,Lists!$D$8)</f>
        <v>1</v>
      </c>
    </row>
    <row r="47" spans="2:11" ht="14.5" x14ac:dyDescent="0.3">
      <c r="B47" s="24" t="str">
        <f>Lists!$E$9</f>
        <v>Other</v>
      </c>
      <c r="C47" s="11">
        <f>COUNTIF('Contribution Log'!$I$2:$I$601,Lists!$E$9)</f>
        <v>1</v>
      </c>
      <c r="E47" s="24" t="str">
        <f>Lists!$D$9</f>
        <v>Client / PM / Report</v>
      </c>
      <c r="F47" s="11">
        <f>COUNTIF('Contribution Log'!$H$2:$H$601,Lists!$D$9)</f>
        <v>0</v>
      </c>
    </row>
  </sheetData>
  <mergeCells count="8">
    <mergeCell ref="B5:D5"/>
    <mergeCell ref="E5:G5"/>
    <mergeCell ref="K5:M5"/>
    <mergeCell ref="H5:J5"/>
    <mergeCell ref="K6:M6"/>
    <mergeCell ref="B6:D6"/>
    <mergeCell ref="E6:G6"/>
    <mergeCell ref="H6:J6"/>
  </mergeCells>
  <phoneticPr fontId="11" type="noConversion"/>
  <conditionalFormatting sqref="I41:I44">
    <cfRule type="cellIs" dxfId="6" priority="1" operator="greaterThan">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125"/>
  <sheetViews>
    <sheetView showGridLines="0" topLeftCell="A7" workbookViewId="0">
      <pane xSplit="2" topLeftCell="C1" activePane="topRight" state="frozen"/>
      <selection pane="topRight" activeCell="D15" sqref="D15"/>
    </sheetView>
  </sheetViews>
  <sheetFormatPr defaultRowHeight="14" x14ac:dyDescent="0.25"/>
  <cols>
    <col min="1" max="1" width="3" customWidth="1"/>
    <col min="2" max="2" width="11" customWidth="1"/>
    <col min="3" max="3" width="9" customWidth="1"/>
    <col min="4" max="4" width="12" customWidth="1"/>
    <col min="5" max="5" width="17" customWidth="1"/>
    <col min="6" max="6" width="7" customWidth="1"/>
    <col min="7" max="7" width="30" customWidth="1"/>
    <col min="8" max="8" width="62" customWidth="1"/>
    <col min="9" max="9" width="20" customWidth="1"/>
    <col min="10" max="10" width="13" customWidth="1"/>
    <col min="11" max="11" width="8" customWidth="1"/>
  </cols>
  <sheetData>
    <row r="2" spans="2:13" ht="21" x14ac:dyDescent="0.5">
      <c r="B2" s="13" t="s">
        <v>9</v>
      </c>
    </row>
    <row r="3" spans="2:13" ht="14.5" x14ac:dyDescent="0.3">
      <c r="B3" s="14" t="s">
        <v>127</v>
      </c>
    </row>
    <row r="5" spans="2:13" x14ac:dyDescent="0.25">
      <c r="B5" s="45" t="s">
        <v>128</v>
      </c>
      <c r="C5" s="46"/>
      <c r="D5" s="45" t="s">
        <v>129</v>
      </c>
      <c r="E5" s="46"/>
      <c r="F5" s="45" t="s">
        <v>130</v>
      </c>
      <c r="G5" s="46"/>
      <c r="H5" s="45" t="s">
        <v>131</v>
      </c>
      <c r="I5" s="46"/>
      <c r="J5" s="45" t="s">
        <v>132</v>
      </c>
      <c r="K5" s="46"/>
      <c r="L5" s="45" t="s">
        <v>133</v>
      </c>
      <c r="M5" s="46"/>
    </row>
    <row r="6" spans="2:13" ht="30" customHeight="1" x14ac:dyDescent="0.25">
      <c r="B6" s="51">
        <v>73</v>
      </c>
      <c r="C6" s="48"/>
      <c r="D6" s="51">
        <v>17</v>
      </c>
      <c r="E6" s="48"/>
      <c r="F6" s="51">
        <v>1</v>
      </c>
      <c r="G6" s="48"/>
      <c r="H6" s="51">
        <v>1</v>
      </c>
      <c r="I6" s="48"/>
      <c r="J6" s="51">
        <v>21</v>
      </c>
      <c r="K6" s="48"/>
      <c r="L6" s="51">
        <v>55</v>
      </c>
      <c r="M6" s="48"/>
    </row>
    <row r="8" spans="2:13" ht="15.5" x14ac:dyDescent="0.35">
      <c r="B8" s="15" t="s">
        <v>134</v>
      </c>
      <c r="H8" s="22" t="s">
        <v>135</v>
      </c>
    </row>
    <row r="9" spans="2:13" ht="28" customHeight="1" x14ac:dyDescent="0.25">
      <c r="B9" s="7" t="s">
        <v>136</v>
      </c>
      <c r="C9" s="7" t="s">
        <v>137</v>
      </c>
      <c r="D9" s="7" t="s">
        <v>138</v>
      </c>
      <c r="E9" s="56" t="s">
        <v>139</v>
      </c>
      <c r="F9" s="57"/>
      <c r="G9" s="7" t="s">
        <v>140</v>
      </c>
      <c r="H9" s="7" t="s">
        <v>141</v>
      </c>
      <c r="I9" s="7" t="s">
        <v>142</v>
      </c>
      <c r="J9" s="7" t="s">
        <v>143</v>
      </c>
      <c r="K9" s="7" t="s">
        <v>121</v>
      </c>
    </row>
    <row r="10" spans="2:13" ht="26" customHeight="1" x14ac:dyDescent="0.25">
      <c r="B10" s="20" t="s">
        <v>144</v>
      </c>
      <c r="C10" s="26" t="s">
        <v>145</v>
      </c>
      <c r="D10" s="27" t="s">
        <v>55</v>
      </c>
      <c r="E10" s="49" t="s">
        <v>146</v>
      </c>
      <c r="F10" s="50"/>
      <c r="G10" s="11">
        <f>COUNTIF(Lists!$X$3:$X$61,$C10)</f>
        <v>1</v>
      </c>
      <c r="H10" s="11">
        <f>COUNTIFS(Lists!$X$3:$X$61,$C10,Lists!$Y$3:$Y$61,"To Do")+COUNTIFS(Lists!$X$3:$X$61,$C10,Lists!$Y$3:$Y$61,"Not on board")</f>
        <v>1</v>
      </c>
      <c r="I10" s="11">
        <f>COUNTIFS(Lists!$X$3:$X$61,$C10,Lists!$Y$3:$Y$61,"In progress")</f>
        <v>0</v>
      </c>
      <c r="J10" s="11">
        <f>COUNTIFS(Lists!$X$3:$X$61,$C10,Lists!$Y$3:$Y$61,"Done")</f>
        <v>0</v>
      </c>
      <c r="K10" s="9">
        <f>SUMPRODUCT((Lists!$X$3:$X$61=$C10)*COUNTIF('Contribution Log'!$J$2:$J$601,Lists!$K$3:$K$61))</f>
        <v>0</v>
      </c>
    </row>
    <row r="11" spans="2:13" ht="26" customHeight="1" x14ac:dyDescent="0.25">
      <c r="B11" s="20" t="s">
        <v>147</v>
      </c>
      <c r="C11" s="26" t="s">
        <v>148</v>
      </c>
      <c r="D11" s="27" t="s">
        <v>48</v>
      </c>
      <c r="E11" s="49" t="s">
        <v>149</v>
      </c>
      <c r="F11" s="50"/>
      <c r="G11" s="11">
        <f>COUNTIF(Lists!$X$3:$X$61,$C11)</f>
        <v>1</v>
      </c>
      <c r="H11" s="11">
        <f>COUNTIFS(Lists!$X$3:$X$61,$C11,Lists!$Y$3:$Y$61,"To Do")+COUNTIFS(Lists!$X$3:$X$61,$C11,Lists!$Y$3:$Y$61,"Not on board")</f>
        <v>0</v>
      </c>
      <c r="I11" s="11">
        <f>COUNTIFS(Lists!$X$3:$X$61,$C11,Lists!$Y$3:$Y$61,"In progress")</f>
        <v>1</v>
      </c>
      <c r="J11" s="11">
        <f>COUNTIFS(Lists!$X$3:$X$61,$C11,Lists!$Y$3:$Y$61,"Done")</f>
        <v>0</v>
      </c>
      <c r="K11" s="9">
        <f>SUMPRODUCT((Lists!$X$3:$X$61=$C11)*COUNTIF('Contribution Log'!$J$2:$J$601,Lists!$K$3:$K$61))</f>
        <v>0</v>
      </c>
    </row>
    <row r="12" spans="2:13" ht="26" customHeight="1" x14ac:dyDescent="0.25">
      <c r="B12" s="20" t="s">
        <v>150</v>
      </c>
      <c r="C12" s="26" t="s">
        <v>151</v>
      </c>
      <c r="D12" s="27" t="s">
        <v>41</v>
      </c>
      <c r="E12" s="49" t="s">
        <v>152</v>
      </c>
      <c r="F12" s="50"/>
      <c r="G12" s="11">
        <f>COUNTIF(Lists!$X$3:$X$61,$C12)</f>
        <v>7</v>
      </c>
      <c r="H12" s="11">
        <f>COUNTIFS(Lists!$X$3:$X$61,$C12,Lists!$Y$3:$Y$61,"To Do")+COUNTIFS(Lists!$X$3:$X$61,$C12,Lists!$Y$3:$Y$61,"Not on board")</f>
        <v>6</v>
      </c>
      <c r="I12" s="11">
        <f>COUNTIFS(Lists!$X$3:$X$61,$C12,Lists!$Y$3:$Y$61,"In progress")</f>
        <v>1</v>
      </c>
      <c r="J12" s="11">
        <f>COUNTIFS(Lists!$X$3:$X$61,$C12,Lists!$Y$3:$Y$61,"Done")</f>
        <v>0</v>
      </c>
      <c r="K12" s="9">
        <f>SUMPRODUCT((Lists!$X$3:$X$61=$C12)*COUNTIF('Contribution Log'!$J$2:$J$601,Lists!$K$3:$K$61))</f>
        <v>0</v>
      </c>
    </row>
    <row r="13" spans="2:13" ht="26" customHeight="1" x14ac:dyDescent="0.25">
      <c r="B13" s="20" t="s">
        <v>153</v>
      </c>
      <c r="C13" s="26" t="s">
        <v>154</v>
      </c>
      <c r="D13" s="27"/>
      <c r="E13" s="49" t="s">
        <v>155</v>
      </c>
      <c r="F13" s="50"/>
      <c r="G13" s="11">
        <f>COUNTIF(Lists!$X$3:$X$61,$C13)</f>
        <v>4</v>
      </c>
      <c r="H13" s="11">
        <f>COUNTIFS(Lists!$X$3:$X$61,$C13,Lists!$Y$3:$Y$61,"To Do")+COUNTIFS(Lists!$X$3:$X$61,$C13,Lists!$Y$3:$Y$61,"Not on board")</f>
        <v>1</v>
      </c>
      <c r="I13" s="11">
        <f>COUNTIFS(Lists!$X$3:$X$61,$C13,Lists!$Y$3:$Y$61,"In progress")</f>
        <v>3</v>
      </c>
      <c r="J13" s="11">
        <f>COUNTIFS(Lists!$X$3:$X$61,$C13,Lists!$Y$3:$Y$61,"Done")</f>
        <v>0</v>
      </c>
      <c r="K13" s="9">
        <f>SUMPRODUCT((Lists!$X$3:$X$61=$C13)*COUNTIF('Contribution Log'!$J$2:$J$601,Lists!$K$3:$K$61))</f>
        <v>0</v>
      </c>
    </row>
    <row r="14" spans="2:13" ht="26" customHeight="1" x14ac:dyDescent="0.25">
      <c r="B14" s="20" t="s">
        <v>156</v>
      </c>
      <c r="C14" s="26" t="s">
        <v>157</v>
      </c>
      <c r="D14" s="27"/>
      <c r="E14" s="49" t="s">
        <v>158</v>
      </c>
      <c r="F14" s="50"/>
      <c r="G14" s="11">
        <f>COUNTIF(Lists!$X$3:$X$61,$C14)</f>
        <v>6</v>
      </c>
      <c r="H14" s="11">
        <f>COUNTIFS(Lists!$X$3:$X$61,$C14,Lists!$Y$3:$Y$61,"To Do")+COUNTIFS(Lists!$X$3:$X$61,$C14,Lists!$Y$3:$Y$61,"Not on board")</f>
        <v>4</v>
      </c>
      <c r="I14" s="11">
        <f>COUNTIFS(Lists!$X$3:$X$61,$C14,Lists!$Y$3:$Y$61,"In progress")</f>
        <v>2</v>
      </c>
      <c r="J14" s="11">
        <f>COUNTIFS(Lists!$X$3:$X$61,$C14,Lists!$Y$3:$Y$61,"Done")</f>
        <v>0</v>
      </c>
      <c r="K14" s="9">
        <f>SUMPRODUCT((Lists!$X$3:$X$61=$C14)*COUNTIF('Contribution Log'!$J$2:$J$601,Lists!$K$3:$K$61))</f>
        <v>0</v>
      </c>
    </row>
    <row r="15" spans="2:13" ht="26" customHeight="1" x14ac:dyDescent="0.25">
      <c r="B15" s="20" t="s">
        <v>159</v>
      </c>
      <c r="C15" s="26" t="s">
        <v>160</v>
      </c>
      <c r="D15" s="27"/>
      <c r="E15" s="49" t="s">
        <v>161</v>
      </c>
      <c r="F15" s="50"/>
      <c r="G15" s="11">
        <f>COUNTIF(Lists!$X$3:$X$61,$C15)</f>
        <v>3</v>
      </c>
      <c r="H15" s="11">
        <f>COUNTIFS(Lists!$X$3:$X$61,$C15,Lists!$Y$3:$Y$61,"To Do")+COUNTIFS(Lists!$X$3:$X$61,$C15,Lists!$Y$3:$Y$61,"Not on board")</f>
        <v>1</v>
      </c>
      <c r="I15" s="11">
        <f>COUNTIFS(Lists!$X$3:$X$61,$C15,Lists!$Y$3:$Y$61,"In progress")</f>
        <v>2</v>
      </c>
      <c r="J15" s="11">
        <f>COUNTIFS(Lists!$X$3:$X$61,$C15,Lists!$Y$3:$Y$61,"Done")</f>
        <v>0</v>
      </c>
      <c r="K15" s="9">
        <f>SUMPRODUCT((Lists!$X$3:$X$61=$C15)*COUNTIF('Contribution Log'!$J$2:$J$601,Lists!$K$3:$K$61))</f>
        <v>0</v>
      </c>
    </row>
    <row r="16" spans="2:13" ht="26" customHeight="1" x14ac:dyDescent="0.25">
      <c r="B16" s="20" t="s">
        <v>162</v>
      </c>
      <c r="C16" s="26" t="s">
        <v>163</v>
      </c>
      <c r="D16" s="27"/>
      <c r="E16" s="49" t="s">
        <v>164</v>
      </c>
      <c r="F16" s="50"/>
      <c r="G16" s="11">
        <f>COUNTIF(Lists!$X$3:$X$61,$C16)</f>
        <v>8</v>
      </c>
      <c r="H16" s="11">
        <f>COUNTIFS(Lists!$X$3:$X$61,$C16,Lists!$Y$3:$Y$61,"To Do")+COUNTIFS(Lists!$X$3:$X$61,$C16,Lists!$Y$3:$Y$61,"Not on board")</f>
        <v>6</v>
      </c>
      <c r="I16" s="11">
        <f>COUNTIFS(Lists!$X$3:$X$61,$C16,Lists!$Y$3:$Y$61,"In progress")</f>
        <v>2</v>
      </c>
      <c r="J16" s="11">
        <f>COUNTIFS(Lists!$X$3:$X$61,$C16,Lists!$Y$3:$Y$61,"Done")</f>
        <v>0</v>
      </c>
      <c r="K16" s="9">
        <f>SUMPRODUCT((Lists!$X$3:$X$61=$C16)*COUNTIF('Contribution Log'!$J$2:$J$601,Lists!$K$3:$K$61))</f>
        <v>1</v>
      </c>
    </row>
    <row r="17" spans="2:11" ht="26" customHeight="1" x14ac:dyDescent="0.25">
      <c r="B17" s="20" t="s">
        <v>165</v>
      </c>
      <c r="C17" s="26" t="s">
        <v>166</v>
      </c>
      <c r="D17" s="27"/>
      <c r="E17" s="49" t="s">
        <v>167</v>
      </c>
      <c r="F17" s="50"/>
      <c r="G17" s="11">
        <f>COUNTIF(Lists!$X$3:$X$61,$C17)</f>
        <v>4</v>
      </c>
      <c r="H17" s="11">
        <f>COUNTIFS(Lists!$X$3:$X$61,$C17,Lists!$Y$3:$Y$61,"To Do")+COUNTIFS(Lists!$X$3:$X$61,$C17,Lists!$Y$3:$Y$61,"Not on board")</f>
        <v>4</v>
      </c>
      <c r="I17" s="11">
        <f>COUNTIFS(Lists!$X$3:$X$61,$C17,Lists!$Y$3:$Y$61,"In progress")</f>
        <v>0</v>
      </c>
      <c r="J17" s="11">
        <f>COUNTIFS(Lists!$X$3:$X$61,$C17,Lists!$Y$3:$Y$61,"Done")</f>
        <v>0</v>
      </c>
      <c r="K17" s="9">
        <f>SUMPRODUCT((Lists!$X$3:$X$61=$C17)*COUNTIF('Contribution Log'!$J$2:$J$601,Lists!$K$3:$K$61))</f>
        <v>0</v>
      </c>
    </row>
    <row r="18" spans="2:11" ht="26" customHeight="1" x14ac:dyDescent="0.25">
      <c r="B18" s="20" t="s">
        <v>168</v>
      </c>
      <c r="C18" s="26" t="s">
        <v>169</v>
      </c>
      <c r="D18" s="27"/>
      <c r="E18" s="49" t="s">
        <v>170</v>
      </c>
      <c r="F18" s="50"/>
      <c r="G18" s="11">
        <f>COUNTIF(Lists!$X$3:$X$61,$C18)</f>
        <v>5</v>
      </c>
      <c r="H18" s="11">
        <f>COUNTIFS(Lists!$X$3:$X$61,$C18,Lists!$Y$3:$Y$61,"To Do")+COUNTIFS(Lists!$X$3:$X$61,$C18,Lists!$Y$3:$Y$61,"Not on board")</f>
        <v>5</v>
      </c>
      <c r="I18" s="11">
        <f>COUNTIFS(Lists!$X$3:$X$61,$C18,Lists!$Y$3:$Y$61,"In progress")</f>
        <v>0</v>
      </c>
      <c r="J18" s="11">
        <f>COUNTIFS(Lists!$X$3:$X$61,$C18,Lists!$Y$3:$Y$61,"Done")</f>
        <v>0</v>
      </c>
      <c r="K18" s="9">
        <f>SUMPRODUCT((Lists!$X$3:$X$61=$C18)*COUNTIF('Contribution Log'!$J$2:$J$601,Lists!$K$3:$K$61))</f>
        <v>0</v>
      </c>
    </row>
    <row r="19" spans="2:11" ht="26" x14ac:dyDescent="0.25">
      <c r="B19" s="20" t="s">
        <v>171</v>
      </c>
      <c r="C19" s="26" t="s">
        <v>172</v>
      </c>
      <c r="D19" s="29"/>
      <c r="E19" s="49" t="s">
        <v>173</v>
      </c>
      <c r="F19" s="50"/>
      <c r="G19" s="11">
        <f>COUNTIF(Lists!$X$3:$X$61,$C19)</f>
        <v>20</v>
      </c>
      <c r="H19" s="11">
        <f>COUNTIFS(Lists!$X$3:$X$61,$C19,Lists!$Y$3:$Y$61,"To Do")+COUNTIFS(Lists!$X$3:$X$61,$C19,Lists!$Y$3:$Y$61,"Not on board")</f>
        <v>9</v>
      </c>
      <c r="I19" s="11">
        <f>COUNTIFS(Lists!$X$3:$X$61,$C19,Lists!$Y$3:$Y$61,"In progress")</f>
        <v>4</v>
      </c>
      <c r="J19" s="11">
        <f>COUNTIFS(Lists!$X$3:$X$61,$C19,Lists!$Y$3:$Y$61,"Done")</f>
        <v>1</v>
      </c>
      <c r="K19" s="9">
        <f>SUMPRODUCT((Lists!$X$3:$X$61=$C19)*COUNTIF('Contribution Log'!$J$2:$J$601,Lists!$K$3:$K$61))</f>
        <v>1</v>
      </c>
    </row>
    <row r="21" spans="2:11" ht="15.5" x14ac:dyDescent="0.35">
      <c r="B21" s="15" t="s">
        <v>174</v>
      </c>
      <c r="H21" s="22" t="s">
        <v>175</v>
      </c>
      <c r="I21" s="15" t="s">
        <v>176</v>
      </c>
    </row>
    <row r="22" spans="2:11" ht="26" x14ac:dyDescent="0.25">
      <c r="B22" s="7" t="s">
        <v>177</v>
      </c>
      <c r="C22" s="7" t="s">
        <v>140</v>
      </c>
      <c r="D22" s="7" t="s">
        <v>143</v>
      </c>
      <c r="E22" s="7" t="s">
        <v>142</v>
      </c>
      <c r="F22" s="7" t="s">
        <v>178</v>
      </c>
      <c r="G22" s="7" t="s">
        <v>179</v>
      </c>
      <c r="I22" s="7" t="s">
        <v>81</v>
      </c>
      <c r="J22" s="7" t="s">
        <v>140</v>
      </c>
      <c r="K22" s="7" t="s">
        <v>143</v>
      </c>
    </row>
    <row r="23" spans="2:11" ht="14.5" x14ac:dyDescent="0.3">
      <c r="B23" s="19" t="s">
        <v>180</v>
      </c>
      <c r="C23" s="11">
        <f>COUNTIF(Lists!$M$3:$M$61,"P0")</f>
        <v>35</v>
      </c>
      <c r="D23" s="11">
        <f>COUNTIFS(Lists!$M$3:$M$61,"P0",Lists!$Y$3:$Y$61,"Done")</f>
        <v>1</v>
      </c>
      <c r="E23" s="11">
        <f>COUNTIFS(Lists!$M$3:$M$61,"P0",Lists!$Y$3:$Y$61,"In progress")</f>
        <v>12</v>
      </c>
      <c r="F23" s="11">
        <f>COUNTIF(Lists!$M$3:$M$61,"P0")-COUNTIFS(Lists!$M$3:$M$61,"P0",Lists!$Y$3:$Y$61,"Not on board")-COUNTIFS(Lists!$M$3:$M$61,"P0",Lists!$Y$3:$Y$61,"Dropped")</f>
        <v>32</v>
      </c>
      <c r="G23" s="30">
        <f>IFERROR(D23/C23,"")</f>
        <v>2.8571428571428571E-2</v>
      </c>
      <c r="I23" s="24" t="s">
        <v>181</v>
      </c>
      <c r="J23" s="11">
        <f>COUNTIF(Lists!$L$3:$L$61,"A")</f>
        <v>5</v>
      </c>
      <c r="K23" s="11">
        <f>COUNTIFS(Lists!$L$3:$L$61,"A",Lists!$Y$3:$Y$61,"Done")</f>
        <v>1</v>
      </c>
    </row>
    <row r="24" spans="2:11" ht="14.5" x14ac:dyDescent="0.3">
      <c r="B24" s="19" t="s">
        <v>182</v>
      </c>
      <c r="C24" s="11">
        <f>COUNTIF(Lists!$M$3:$M$61,"P1")</f>
        <v>20</v>
      </c>
      <c r="D24" s="11">
        <f>COUNTIFS(Lists!$M$3:$M$61,"P1",Lists!$Y$3:$Y$61,"Done")</f>
        <v>0</v>
      </c>
      <c r="E24" s="11">
        <f>COUNTIFS(Lists!$M$3:$M$61,"P1",Lists!$Y$3:$Y$61,"In progress")</f>
        <v>3</v>
      </c>
      <c r="F24" s="11">
        <f>COUNTIF(Lists!$M$3:$M$61,"P1")-COUNTIFS(Lists!$M$3:$M$61,"P1",Lists!$Y$3:$Y$61,"Not on board")-COUNTIFS(Lists!$M$3:$M$61,"P1",Lists!$Y$3:$Y$61,"Dropped")</f>
        <v>17</v>
      </c>
      <c r="G24" s="30">
        <f>IFERROR(D24/C24,"")</f>
        <v>0</v>
      </c>
      <c r="I24" s="24" t="s">
        <v>183</v>
      </c>
      <c r="J24" s="11">
        <f>COUNTIF(Lists!$L$3:$L$61,"B")</f>
        <v>6</v>
      </c>
      <c r="K24" s="11">
        <f>COUNTIFS(Lists!$L$3:$L$61,"B",Lists!$Y$3:$Y$61,"Done")</f>
        <v>0</v>
      </c>
    </row>
    <row r="25" spans="2:11" ht="14.5" x14ac:dyDescent="0.3">
      <c r="B25" s="19" t="s">
        <v>184</v>
      </c>
      <c r="C25" s="11">
        <f>COUNTIF(Lists!$M$3:$M$61,"P2")</f>
        <v>4</v>
      </c>
      <c r="D25" s="11">
        <f>COUNTIFS(Lists!$M$3:$M$61,"P2",Lists!$Y$3:$Y$61,"Done")</f>
        <v>0</v>
      </c>
      <c r="E25" s="11">
        <f>COUNTIFS(Lists!$M$3:$M$61,"P2",Lists!$Y$3:$Y$61,"In progress")</f>
        <v>0</v>
      </c>
      <c r="F25" s="11">
        <f>COUNTIF(Lists!$M$3:$M$61,"P2")-COUNTIFS(Lists!$M$3:$M$61,"P2",Lists!$Y$3:$Y$61,"Not on board")-COUNTIFS(Lists!$M$3:$M$61,"P2",Lists!$Y$3:$Y$61,"Dropped")</f>
        <v>4</v>
      </c>
      <c r="G25" s="30">
        <f>IFERROR(D25/C25,"")</f>
        <v>0</v>
      </c>
      <c r="I25" s="24" t="s">
        <v>185</v>
      </c>
      <c r="J25" s="11">
        <f>COUNTIF(Lists!$L$3:$L$61,"C")</f>
        <v>5</v>
      </c>
      <c r="K25" s="11">
        <f>COUNTIFS(Lists!$L$3:$L$61,"C",Lists!$Y$3:$Y$61,"Done")</f>
        <v>0</v>
      </c>
    </row>
    <row r="26" spans="2:11" ht="14.5" x14ac:dyDescent="0.3">
      <c r="B26" s="19" t="s">
        <v>186</v>
      </c>
      <c r="C26" s="11">
        <v>59</v>
      </c>
      <c r="D26" s="11">
        <f>COUNTIF(Lists!$Y$3:$Y$61,"Done")</f>
        <v>1</v>
      </c>
      <c r="E26" s="11">
        <f>COUNTIF(Lists!$Y$3:$Y$61,"In progress")</f>
        <v>15</v>
      </c>
      <c r="F26" s="11">
        <f>COUNTA(Lists!$K$3:$K$61)-COUNTIF(Lists!$Y$3:$Y$61,"Not on board")-COUNTIF(Lists!$Y$3:$Y$61,"Dropped")</f>
        <v>53</v>
      </c>
      <c r="G26" s="30">
        <f>IFERROR(D26/C26,"")</f>
        <v>1.6949152542372881E-2</v>
      </c>
      <c r="I26" s="24" t="s">
        <v>187</v>
      </c>
      <c r="J26" s="11">
        <f>COUNTIF(Lists!$L$3:$L$61,"D")</f>
        <v>8</v>
      </c>
      <c r="K26" s="11">
        <f>COUNTIFS(Lists!$L$3:$L$61,"D",Lists!$Y$3:$Y$61,"Done")</f>
        <v>0</v>
      </c>
    </row>
    <row r="27" spans="2:11" ht="14.5" x14ac:dyDescent="0.3">
      <c r="I27" s="24" t="s">
        <v>188</v>
      </c>
      <c r="J27" s="11">
        <f>COUNTIF(Lists!$L$3:$L$61,"E")</f>
        <v>6</v>
      </c>
      <c r="K27" s="11">
        <f>COUNTIFS(Lists!$L$3:$L$61,"E",Lists!$Y$3:$Y$61,"Done")</f>
        <v>0</v>
      </c>
    </row>
    <row r="28" spans="2:11" ht="14.5" x14ac:dyDescent="0.3">
      <c r="I28" s="24" t="s">
        <v>189</v>
      </c>
      <c r="J28" s="11">
        <f>COUNTIF(Lists!$L$3:$L$61,"F")</f>
        <v>5</v>
      </c>
      <c r="K28" s="11">
        <f>COUNTIFS(Lists!$L$3:$L$61,"F",Lists!$Y$3:$Y$61,"Done")</f>
        <v>0</v>
      </c>
    </row>
    <row r="29" spans="2:11" ht="14.5" x14ac:dyDescent="0.3">
      <c r="I29" s="24" t="s">
        <v>190</v>
      </c>
      <c r="J29" s="11">
        <f>COUNTIF(Lists!$L$3:$L$61,"G")</f>
        <v>5</v>
      </c>
      <c r="K29" s="11">
        <f>COUNTIFS(Lists!$L$3:$L$61,"G",Lists!$Y$3:$Y$61,"Done")</f>
        <v>0</v>
      </c>
    </row>
    <row r="30" spans="2:11" ht="14.5" x14ac:dyDescent="0.3">
      <c r="I30" s="24" t="s">
        <v>191</v>
      </c>
      <c r="J30" s="11">
        <f>COUNTIF(Lists!$L$3:$L$61,"H")</f>
        <v>6</v>
      </c>
      <c r="K30" s="11">
        <f>COUNTIFS(Lists!$L$3:$L$61,"H",Lists!$Y$3:$Y$61,"Done")</f>
        <v>0</v>
      </c>
    </row>
    <row r="31" spans="2:11" ht="14.5" x14ac:dyDescent="0.3">
      <c r="I31" s="24" t="s">
        <v>192</v>
      </c>
      <c r="J31" s="11">
        <f>COUNTIF(Lists!$L$3:$L$61,"I")</f>
        <v>5</v>
      </c>
      <c r="K31" s="11">
        <f>COUNTIFS(Lists!$L$3:$L$61,"I",Lists!$Y$3:$Y$61,"Done")</f>
        <v>0</v>
      </c>
    </row>
    <row r="32" spans="2:11" ht="14.5" x14ac:dyDescent="0.3">
      <c r="I32" s="24" t="s">
        <v>193</v>
      </c>
      <c r="J32" s="11">
        <f>COUNTIF(Lists!$L$3:$L$61,"J")</f>
        <v>4</v>
      </c>
      <c r="K32" s="11">
        <f>COUNTIFS(Lists!$L$3:$L$61,"J",Lists!$Y$3:$Y$61,"Done")</f>
        <v>0</v>
      </c>
    </row>
    <row r="33" spans="2:11" ht="14.5" x14ac:dyDescent="0.3">
      <c r="I33" s="24" t="s">
        <v>194</v>
      </c>
      <c r="J33" s="11">
        <f>COUNTIF(Lists!$L$3:$L$61,"K")</f>
        <v>4</v>
      </c>
      <c r="K33" s="11">
        <f>COUNTIFS(Lists!$L$3:$L$61,"K",Lists!$Y$3:$Y$61,"Done")</f>
        <v>0</v>
      </c>
    </row>
    <row r="35" spans="2:11" ht="15.5" x14ac:dyDescent="0.35">
      <c r="B35" s="15" t="s">
        <v>195</v>
      </c>
      <c r="H35" s="22" t="s">
        <v>196</v>
      </c>
    </row>
    <row r="36" spans="2:11" x14ac:dyDescent="0.25">
      <c r="B36" s="31" t="s">
        <v>197</v>
      </c>
      <c r="C36" s="52" t="s">
        <v>198</v>
      </c>
      <c r="D36" s="53"/>
      <c r="E36" s="53"/>
      <c r="F36" s="53"/>
      <c r="G36" s="53"/>
      <c r="H36" s="53"/>
      <c r="I36" s="53"/>
      <c r="J36" s="53"/>
      <c r="K36" s="53"/>
    </row>
    <row r="37" spans="2:11" ht="14.5" x14ac:dyDescent="0.3">
      <c r="B37" s="22" t="s">
        <v>199</v>
      </c>
      <c r="C37" s="44" t="s">
        <v>200</v>
      </c>
      <c r="D37" s="50"/>
      <c r="E37" s="50"/>
      <c r="F37" s="50"/>
      <c r="G37" s="50"/>
      <c r="H37" s="50"/>
      <c r="I37" s="50"/>
      <c r="J37" s="50"/>
      <c r="K37" s="50"/>
    </row>
    <row r="39" spans="2:11" ht="15.5" x14ac:dyDescent="0.35">
      <c r="B39" s="15" t="s">
        <v>201</v>
      </c>
      <c r="H39" s="22" t="s">
        <v>202</v>
      </c>
    </row>
    <row r="40" spans="2:11" ht="30" customHeight="1" x14ac:dyDescent="0.25">
      <c r="B40" s="7" t="s">
        <v>34</v>
      </c>
      <c r="C40" s="7" t="s">
        <v>203</v>
      </c>
      <c r="D40" s="7" t="s">
        <v>141</v>
      </c>
      <c r="E40" s="7" t="s">
        <v>142</v>
      </c>
      <c r="F40" s="7" t="s">
        <v>204</v>
      </c>
      <c r="G40" s="7" t="s">
        <v>143</v>
      </c>
      <c r="H40" s="7" t="s">
        <v>205</v>
      </c>
      <c r="I40" s="7" t="s">
        <v>206</v>
      </c>
      <c r="J40" s="7" t="s">
        <v>207</v>
      </c>
      <c r="K40" s="7" t="s">
        <v>208</v>
      </c>
    </row>
    <row r="41" spans="2:11" ht="14.5" x14ac:dyDescent="0.3">
      <c r="B41" s="19" t="str">
        <f>Lists!$A$2</f>
        <v>Michael Max</v>
      </c>
      <c r="C41" s="32">
        <v>2</v>
      </c>
      <c r="D41" s="11">
        <v>0</v>
      </c>
      <c r="E41" s="11">
        <v>2</v>
      </c>
      <c r="F41" s="11">
        <v>0</v>
      </c>
      <c r="G41" s="11">
        <v>0</v>
      </c>
      <c r="H41" s="11">
        <v>2</v>
      </c>
      <c r="I41" s="28" t="s">
        <v>148</v>
      </c>
      <c r="J41" s="9">
        <f>COUNTIF('Contribution Log'!$C$2:$C$601,Lists!$A$2)</f>
        <v>0</v>
      </c>
      <c r="K41" s="9">
        <f>COUNTIF('Contribution Log'!$D$2:$D$601,Lists!$A$2)</f>
        <v>0</v>
      </c>
    </row>
    <row r="42" spans="2:11" ht="24" x14ac:dyDescent="0.3">
      <c r="B42" s="19" t="str">
        <f>Lists!$A$3</f>
        <v>Parth</v>
      </c>
      <c r="C42" s="32">
        <v>2</v>
      </c>
      <c r="D42" s="11">
        <v>0</v>
      </c>
      <c r="E42" s="11">
        <v>2</v>
      </c>
      <c r="F42" s="11">
        <v>0</v>
      </c>
      <c r="G42" s="11">
        <v>0</v>
      </c>
      <c r="H42" s="11">
        <v>2</v>
      </c>
      <c r="I42" s="28" t="s">
        <v>157</v>
      </c>
      <c r="J42" s="9">
        <f>COUNTIF('Contribution Log'!$C$2:$C$601,Lists!$A$3)</f>
        <v>0</v>
      </c>
      <c r="K42" s="9">
        <f>COUNTIF('Contribution Log'!$D$2:$D$601,Lists!$A$3)</f>
        <v>0</v>
      </c>
    </row>
    <row r="43" spans="2:11" ht="36" x14ac:dyDescent="0.3">
      <c r="B43" s="19" t="str">
        <f>Lists!$A$4</f>
        <v>Jingwei Lin</v>
      </c>
      <c r="C43" s="32">
        <v>3</v>
      </c>
      <c r="D43" s="11">
        <v>0</v>
      </c>
      <c r="E43" s="11">
        <v>2</v>
      </c>
      <c r="F43" s="11">
        <v>1</v>
      </c>
      <c r="G43" s="11">
        <v>0</v>
      </c>
      <c r="H43" s="11">
        <v>3</v>
      </c>
      <c r="I43" s="28" t="s">
        <v>209</v>
      </c>
      <c r="J43" s="9">
        <f>COUNTIF('Contribution Log'!$C$2:$C$601,Lists!$A$4)</f>
        <v>1</v>
      </c>
      <c r="K43" s="9">
        <f>COUNTIF('Contribution Log'!$D$2:$D$601,Lists!$A$4)</f>
        <v>1</v>
      </c>
    </row>
    <row r="44" spans="2:11" ht="24" x14ac:dyDescent="0.3">
      <c r="B44" s="19" t="str">
        <f>Lists!$A$5</f>
        <v>Hanchen Wang</v>
      </c>
      <c r="C44" s="32">
        <v>5</v>
      </c>
      <c r="D44" s="11">
        <v>0</v>
      </c>
      <c r="E44" s="11">
        <v>4</v>
      </c>
      <c r="F44" s="11">
        <v>0</v>
      </c>
      <c r="G44" s="11">
        <v>1</v>
      </c>
      <c r="H44" s="11">
        <v>5</v>
      </c>
      <c r="I44" s="28" t="s">
        <v>210</v>
      </c>
      <c r="J44" s="9">
        <f>COUNTIF('Contribution Log'!$C$2:$C$601,Lists!$A$5)</f>
        <v>1</v>
      </c>
      <c r="K44" s="9">
        <f>COUNTIF('Contribution Log'!$D$2:$D$601,Lists!$A$5)</f>
        <v>1</v>
      </c>
    </row>
    <row r="45" spans="2:11" ht="24" x14ac:dyDescent="0.3">
      <c r="B45" s="19" t="str">
        <f>Lists!$A$6</f>
        <v>Yi Geng</v>
      </c>
      <c r="C45" s="32">
        <v>2</v>
      </c>
      <c r="D45" s="11">
        <v>0</v>
      </c>
      <c r="E45" s="11">
        <v>2</v>
      </c>
      <c r="F45" s="11">
        <v>0</v>
      </c>
      <c r="G45" s="11">
        <v>0</v>
      </c>
      <c r="H45" s="11">
        <v>2</v>
      </c>
      <c r="I45" s="28" t="s">
        <v>210</v>
      </c>
      <c r="J45" s="9">
        <f>COUNTIF('Contribution Log'!$C$2:$C$601,Lists!$A$6)</f>
        <v>1</v>
      </c>
      <c r="K45" s="9">
        <f>COUNTIF('Contribution Log'!$D$2:$D$601,Lists!$A$6)</f>
        <v>1</v>
      </c>
    </row>
    <row r="46" spans="2:11" ht="14.5" x14ac:dyDescent="0.3">
      <c r="B46" s="19" t="str">
        <f>Lists!$A$7</f>
        <v>Dishank Aswal</v>
      </c>
      <c r="C46" s="32">
        <v>1</v>
      </c>
      <c r="D46" s="11">
        <v>0</v>
      </c>
      <c r="E46" s="11">
        <v>1</v>
      </c>
      <c r="F46" s="11">
        <v>0</v>
      </c>
      <c r="G46" s="11">
        <v>0</v>
      </c>
      <c r="H46" s="11">
        <v>1</v>
      </c>
      <c r="I46" s="28" t="s">
        <v>154</v>
      </c>
      <c r="J46" s="9">
        <f>COUNTIF('Contribution Log'!$C$2:$C$601,Lists!$A$7)</f>
        <v>0</v>
      </c>
      <c r="K46" s="9">
        <f>COUNTIF('Contribution Log'!$D$2:$D$601,Lists!$A$7)</f>
        <v>0</v>
      </c>
    </row>
    <row r="47" spans="2:11" ht="14.5" x14ac:dyDescent="0.3">
      <c r="B47" s="19" t="str">
        <f>Lists!$A$8</f>
        <v>Kanishka Kathait</v>
      </c>
      <c r="C47" s="32">
        <v>2</v>
      </c>
      <c r="D47" s="11">
        <v>0</v>
      </c>
      <c r="E47" s="11">
        <v>2</v>
      </c>
      <c r="F47" s="11">
        <v>0</v>
      </c>
      <c r="G47" s="11">
        <v>0</v>
      </c>
      <c r="H47" s="11">
        <v>2</v>
      </c>
      <c r="I47" s="28" t="s">
        <v>154</v>
      </c>
      <c r="J47" s="9">
        <f>COUNTIF('Contribution Log'!$C$2:$C$601,Lists!$A$8)</f>
        <v>0</v>
      </c>
      <c r="K47" s="9">
        <f>COUNTIF('Contribution Log'!$D$2:$D$601,Lists!$A$8)</f>
        <v>0</v>
      </c>
    </row>
    <row r="48" spans="2:11" ht="14.5" x14ac:dyDescent="0.3">
      <c r="B48" s="19" t="str">
        <f>Lists!$A$9</f>
        <v>Tok Tin Chung</v>
      </c>
      <c r="C48" s="32">
        <v>1</v>
      </c>
      <c r="D48" s="11">
        <v>0</v>
      </c>
      <c r="E48" s="11">
        <v>1</v>
      </c>
      <c r="F48" s="11">
        <v>0</v>
      </c>
      <c r="G48" s="11">
        <v>0</v>
      </c>
      <c r="H48" s="11">
        <v>1</v>
      </c>
      <c r="I48" s="28" t="s">
        <v>151</v>
      </c>
      <c r="J48" s="9">
        <f>COUNTIF('Contribution Log'!$C$2:$C$601,Lists!$A$9)</f>
        <v>0</v>
      </c>
      <c r="K48" s="9">
        <f>COUNTIF('Contribution Log'!$D$2:$D$601,Lists!$A$9)</f>
        <v>0</v>
      </c>
    </row>
    <row r="49" spans="2:11" ht="14.5" x14ac:dyDescent="0.3">
      <c r="B49" s="19" t="s">
        <v>211</v>
      </c>
      <c r="C49" s="20">
        <v>55</v>
      </c>
      <c r="D49" s="54" t="s">
        <v>212</v>
      </c>
      <c r="E49" s="55"/>
      <c r="F49" s="55"/>
      <c r="G49" s="55"/>
      <c r="H49" s="55"/>
      <c r="I49" s="55"/>
      <c r="J49" s="55"/>
      <c r="K49" s="55"/>
    </row>
    <row r="51" spans="2:11" ht="15.5" x14ac:dyDescent="0.35">
      <c r="B51" s="15" t="s">
        <v>213</v>
      </c>
    </row>
    <row r="52" spans="2:11" ht="30" customHeight="1" x14ac:dyDescent="0.25">
      <c r="B52" s="7" t="s">
        <v>214</v>
      </c>
      <c r="C52" s="7" t="s">
        <v>215</v>
      </c>
      <c r="D52" s="7" t="s">
        <v>216</v>
      </c>
      <c r="E52" s="7" t="s">
        <v>217</v>
      </c>
      <c r="F52" s="7" t="s">
        <v>218</v>
      </c>
      <c r="G52" s="7" t="s">
        <v>219</v>
      </c>
      <c r="H52" s="7" t="s">
        <v>220</v>
      </c>
      <c r="I52" s="7" t="s">
        <v>221</v>
      </c>
      <c r="J52" s="7" t="s">
        <v>222</v>
      </c>
      <c r="K52" s="7" t="s">
        <v>121</v>
      </c>
    </row>
    <row r="53" spans="2:11" x14ac:dyDescent="0.25">
      <c r="B53" s="32" t="s">
        <v>223</v>
      </c>
      <c r="C53" s="11" t="s">
        <v>224</v>
      </c>
      <c r="D53" s="32" t="s">
        <v>225</v>
      </c>
      <c r="E53" s="11"/>
      <c r="F53" s="11"/>
      <c r="G53" s="6" t="s">
        <v>226</v>
      </c>
      <c r="H53" s="6" t="s">
        <v>227</v>
      </c>
      <c r="I53" s="32" t="s">
        <v>44</v>
      </c>
      <c r="J53" s="33" t="s">
        <v>228</v>
      </c>
      <c r="K53" s="9">
        <f>COUNTIF('Contribution Log'!$N$2:$N$601,$B53)</f>
        <v>0</v>
      </c>
    </row>
    <row r="54" spans="2:11" x14ac:dyDescent="0.25">
      <c r="B54" s="32" t="s">
        <v>229</v>
      </c>
      <c r="C54" s="11" t="s">
        <v>224</v>
      </c>
      <c r="D54" s="32" t="s">
        <v>225</v>
      </c>
      <c r="E54" s="11"/>
      <c r="F54" s="11"/>
      <c r="G54" s="6" t="s">
        <v>226</v>
      </c>
      <c r="H54" s="6" t="s">
        <v>230</v>
      </c>
      <c r="I54" s="32" t="s">
        <v>44</v>
      </c>
      <c r="J54" s="33" t="s">
        <v>228</v>
      </c>
      <c r="K54" s="9">
        <f>COUNTIF('Contribution Log'!$N$2:$N$601,$B54)</f>
        <v>0</v>
      </c>
    </row>
    <row r="55" spans="2:11" x14ac:dyDescent="0.25">
      <c r="B55" s="32" t="s">
        <v>231</v>
      </c>
      <c r="C55" s="11" t="s">
        <v>224</v>
      </c>
      <c r="D55" s="32" t="s">
        <v>225</v>
      </c>
      <c r="E55" s="11"/>
      <c r="F55" s="11"/>
      <c r="G55" s="6" t="s">
        <v>226</v>
      </c>
      <c r="H55" s="6" t="s">
        <v>232</v>
      </c>
      <c r="I55" s="32" t="s">
        <v>44</v>
      </c>
      <c r="J55" s="33" t="s">
        <v>228</v>
      </c>
      <c r="K55" s="9">
        <f>COUNTIF('Contribution Log'!$N$2:$N$601,$B55)</f>
        <v>0</v>
      </c>
    </row>
    <row r="56" spans="2:11" x14ac:dyDescent="0.25">
      <c r="B56" s="32" t="s">
        <v>233</v>
      </c>
      <c r="C56" s="11" t="s">
        <v>234</v>
      </c>
      <c r="D56" s="32" t="s">
        <v>225</v>
      </c>
      <c r="E56" s="11"/>
      <c r="F56" s="11"/>
      <c r="G56" s="6"/>
      <c r="H56" s="6" t="s">
        <v>235</v>
      </c>
      <c r="I56" s="32"/>
      <c r="J56" s="33"/>
      <c r="K56" s="9">
        <f>COUNTIF('Contribution Log'!$N$2:$N$601,$B56)</f>
        <v>0</v>
      </c>
    </row>
    <row r="57" spans="2:11" x14ac:dyDescent="0.25">
      <c r="B57" s="32" t="s">
        <v>236</v>
      </c>
      <c r="C57" s="11" t="s">
        <v>224</v>
      </c>
      <c r="D57" s="32" t="s">
        <v>225</v>
      </c>
      <c r="E57" s="11"/>
      <c r="F57" s="11"/>
      <c r="G57" s="6" t="s">
        <v>226</v>
      </c>
      <c r="H57" s="6" t="s">
        <v>237</v>
      </c>
      <c r="I57" s="32" t="s">
        <v>44</v>
      </c>
      <c r="J57" s="33" t="s">
        <v>228</v>
      </c>
      <c r="K57" s="9">
        <f>COUNTIF('Contribution Log'!$N$2:$N$601,$B57)</f>
        <v>0</v>
      </c>
    </row>
    <row r="58" spans="2:11" x14ac:dyDescent="0.25">
      <c r="B58" s="32" t="s">
        <v>238</v>
      </c>
      <c r="C58" s="11" t="s">
        <v>224</v>
      </c>
      <c r="D58" s="32" t="s">
        <v>239</v>
      </c>
      <c r="E58" s="11" t="s">
        <v>48</v>
      </c>
      <c r="F58" s="11" t="s">
        <v>111</v>
      </c>
      <c r="G58" s="6" t="s">
        <v>240</v>
      </c>
      <c r="H58" s="6" t="s">
        <v>241</v>
      </c>
      <c r="I58" s="32" t="s">
        <v>242</v>
      </c>
      <c r="J58" s="33" t="s">
        <v>228</v>
      </c>
      <c r="K58" s="9">
        <f>COUNTIF('Contribution Log'!$N$2:$N$601,$B58)</f>
        <v>0</v>
      </c>
    </row>
    <row r="59" spans="2:11" x14ac:dyDescent="0.25">
      <c r="B59" s="32" t="s">
        <v>243</v>
      </c>
      <c r="C59" s="11" t="s">
        <v>224</v>
      </c>
      <c r="D59" s="32" t="s">
        <v>239</v>
      </c>
      <c r="E59" s="11" t="s">
        <v>42</v>
      </c>
      <c r="F59" s="11" t="s">
        <v>111</v>
      </c>
      <c r="G59" s="6" t="s">
        <v>240</v>
      </c>
      <c r="H59" s="6" t="s">
        <v>244</v>
      </c>
      <c r="I59" s="32" t="s">
        <v>51</v>
      </c>
      <c r="J59" s="33" t="s">
        <v>228</v>
      </c>
      <c r="K59" s="9">
        <f>COUNTIF('Contribution Log'!$N$2:$N$601,$B59)</f>
        <v>0</v>
      </c>
    </row>
    <row r="60" spans="2:11" x14ac:dyDescent="0.25">
      <c r="B60" s="32" t="s">
        <v>245</v>
      </c>
      <c r="C60" s="11" t="s">
        <v>224</v>
      </c>
      <c r="D60" s="32" t="s">
        <v>239</v>
      </c>
      <c r="E60" s="11" t="s">
        <v>56</v>
      </c>
      <c r="F60" s="11" t="s">
        <v>111</v>
      </c>
      <c r="G60" s="6" t="s">
        <v>246</v>
      </c>
      <c r="H60" s="6" t="s">
        <v>247</v>
      </c>
      <c r="I60" s="32" t="s">
        <v>248</v>
      </c>
      <c r="J60" s="33" t="s">
        <v>228</v>
      </c>
      <c r="K60" s="9">
        <f>COUNTIF('Contribution Log'!$N$2:$N$601,$B60)</f>
        <v>0</v>
      </c>
    </row>
    <row r="61" spans="2:11" x14ac:dyDescent="0.25">
      <c r="B61" s="32" t="s">
        <v>249</v>
      </c>
      <c r="C61" s="11" t="s">
        <v>224</v>
      </c>
      <c r="D61" s="32" t="s">
        <v>225</v>
      </c>
      <c r="E61" s="11"/>
      <c r="F61" s="11"/>
      <c r="G61" s="6" t="s">
        <v>250</v>
      </c>
      <c r="H61" s="6" t="s">
        <v>251</v>
      </c>
      <c r="I61" s="32" t="s">
        <v>252</v>
      </c>
      <c r="J61" s="33" t="s">
        <v>228</v>
      </c>
      <c r="K61" s="9">
        <f>COUNTIF('Contribution Log'!$N$2:$N$601,$B61)</f>
        <v>0</v>
      </c>
    </row>
    <row r="62" spans="2:11" x14ac:dyDescent="0.25">
      <c r="B62" s="32" t="s">
        <v>253</v>
      </c>
      <c r="C62" s="11" t="s">
        <v>224</v>
      </c>
      <c r="D62" s="32" t="s">
        <v>239</v>
      </c>
      <c r="E62" s="11" t="s">
        <v>254</v>
      </c>
      <c r="F62" s="11" t="s">
        <v>111</v>
      </c>
      <c r="G62" s="6" t="s">
        <v>250</v>
      </c>
      <c r="H62" s="6" t="s">
        <v>255</v>
      </c>
      <c r="I62" s="32" t="s">
        <v>256</v>
      </c>
      <c r="J62" s="33" t="s">
        <v>228</v>
      </c>
      <c r="K62" s="9">
        <f>COUNTIF('Contribution Log'!$N$2:$N$601,$B62)</f>
        <v>0</v>
      </c>
    </row>
    <row r="63" spans="2:11" x14ac:dyDescent="0.25">
      <c r="B63" s="32" t="s">
        <v>257</v>
      </c>
      <c r="C63" s="11" t="s">
        <v>224</v>
      </c>
      <c r="D63" s="32" t="s">
        <v>239</v>
      </c>
      <c r="E63" s="11" t="s">
        <v>49</v>
      </c>
      <c r="F63" s="11" t="s">
        <v>111</v>
      </c>
      <c r="G63" s="6" t="s">
        <v>250</v>
      </c>
      <c r="H63" s="6" t="s">
        <v>258</v>
      </c>
      <c r="I63" s="32" t="s">
        <v>259</v>
      </c>
      <c r="J63" s="33" t="s">
        <v>228</v>
      </c>
      <c r="K63" s="9">
        <f>COUNTIF('Contribution Log'!$N$2:$N$601,$B63)</f>
        <v>0</v>
      </c>
    </row>
    <row r="64" spans="2:11" x14ac:dyDescent="0.25">
      <c r="B64" s="32" t="s">
        <v>260</v>
      </c>
      <c r="C64" s="11" t="s">
        <v>224</v>
      </c>
      <c r="D64" s="32" t="s">
        <v>239</v>
      </c>
      <c r="E64" s="11" t="s">
        <v>261</v>
      </c>
      <c r="F64" s="11" t="s">
        <v>111</v>
      </c>
      <c r="G64" s="6" t="s">
        <v>250</v>
      </c>
      <c r="H64" s="6" t="s">
        <v>262</v>
      </c>
      <c r="I64" s="32" t="s">
        <v>263</v>
      </c>
      <c r="J64" s="33" t="s">
        <v>228</v>
      </c>
      <c r="K64" s="9">
        <f>COUNTIF('Contribution Log'!$N$2:$N$601,$B64)</f>
        <v>0</v>
      </c>
    </row>
    <row r="65" spans="2:11" x14ac:dyDescent="0.25">
      <c r="B65" s="32" t="s">
        <v>264</v>
      </c>
      <c r="C65" s="11" t="s">
        <v>224</v>
      </c>
      <c r="D65" s="32" t="s">
        <v>225</v>
      </c>
      <c r="E65" s="11"/>
      <c r="F65" s="11"/>
      <c r="G65" s="6" t="s">
        <v>250</v>
      </c>
      <c r="H65" s="6" t="s">
        <v>265</v>
      </c>
      <c r="I65" s="32" t="s">
        <v>266</v>
      </c>
      <c r="J65" s="33" t="s">
        <v>228</v>
      </c>
      <c r="K65" s="9">
        <f>COUNTIF('Contribution Log'!$N$2:$N$601,$B65)</f>
        <v>0</v>
      </c>
    </row>
    <row r="66" spans="2:11" x14ac:dyDescent="0.25">
      <c r="B66" s="32" t="s">
        <v>267</v>
      </c>
      <c r="C66" s="11" t="s">
        <v>224</v>
      </c>
      <c r="D66" s="32" t="s">
        <v>239</v>
      </c>
      <c r="E66" s="11" t="s">
        <v>41</v>
      </c>
      <c r="F66" s="11" t="s">
        <v>111</v>
      </c>
      <c r="G66" s="6" t="s">
        <v>240</v>
      </c>
      <c r="H66" s="6" t="s">
        <v>268</v>
      </c>
      <c r="I66" s="32" t="s">
        <v>269</v>
      </c>
      <c r="J66" s="33" t="s">
        <v>228</v>
      </c>
      <c r="K66" s="9">
        <f>COUNTIF('Contribution Log'!$N$2:$N$601,$B66)</f>
        <v>0</v>
      </c>
    </row>
    <row r="67" spans="2:11" x14ac:dyDescent="0.25">
      <c r="B67" s="32" t="s">
        <v>270</v>
      </c>
      <c r="C67" s="11" t="s">
        <v>224</v>
      </c>
      <c r="D67" s="32" t="s">
        <v>239</v>
      </c>
      <c r="E67" s="11" t="s">
        <v>41</v>
      </c>
      <c r="F67" s="11" t="s">
        <v>111</v>
      </c>
      <c r="G67" s="6" t="s">
        <v>240</v>
      </c>
      <c r="H67" s="6" t="s">
        <v>271</v>
      </c>
      <c r="I67" s="32" t="s">
        <v>272</v>
      </c>
      <c r="J67" s="33" t="s">
        <v>228</v>
      </c>
      <c r="K67" s="9">
        <f>COUNTIF('Contribution Log'!$N$2:$N$601,$B67)</f>
        <v>0</v>
      </c>
    </row>
    <row r="68" spans="2:11" ht="26" x14ac:dyDescent="0.25">
      <c r="B68" s="32" t="s">
        <v>273</v>
      </c>
      <c r="C68" s="11" t="s">
        <v>224</v>
      </c>
      <c r="D68" s="32" t="s">
        <v>225</v>
      </c>
      <c r="E68" s="11"/>
      <c r="F68" s="11"/>
      <c r="G68" s="6" t="s">
        <v>274</v>
      </c>
      <c r="H68" s="6" t="s">
        <v>275</v>
      </c>
      <c r="I68" s="32" t="s">
        <v>276</v>
      </c>
      <c r="J68" s="33" t="s">
        <v>228</v>
      </c>
      <c r="K68" s="9">
        <f>COUNTIF('Contribution Log'!$N$2:$N$601,$B68)</f>
        <v>0</v>
      </c>
    </row>
    <row r="69" spans="2:11" x14ac:dyDescent="0.25">
      <c r="B69" s="32" t="s">
        <v>277</v>
      </c>
      <c r="C69" s="11" t="s">
        <v>224</v>
      </c>
      <c r="D69" s="32" t="s">
        <v>239</v>
      </c>
      <c r="E69" s="11" t="s">
        <v>48</v>
      </c>
      <c r="F69" s="11" t="s">
        <v>111</v>
      </c>
      <c r="G69" s="6" t="s">
        <v>240</v>
      </c>
      <c r="H69" s="6" t="s">
        <v>278</v>
      </c>
      <c r="I69" s="32" t="s">
        <v>272</v>
      </c>
      <c r="J69" s="33" t="s">
        <v>228</v>
      </c>
      <c r="K69" s="9">
        <f>COUNTIF('Contribution Log'!$N$2:$N$601,$B69)</f>
        <v>0</v>
      </c>
    </row>
    <row r="70" spans="2:11" x14ac:dyDescent="0.25">
      <c r="B70" s="32" t="s">
        <v>279</v>
      </c>
      <c r="C70" s="11" t="s">
        <v>224</v>
      </c>
      <c r="D70" s="32" t="s">
        <v>239</v>
      </c>
      <c r="E70" s="11" t="s">
        <v>254</v>
      </c>
      <c r="F70" s="11" t="s">
        <v>111</v>
      </c>
      <c r="G70" s="6" t="s">
        <v>274</v>
      </c>
      <c r="H70" s="6" t="s">
        <v>280</v>
      </c>
      <c r="I70" s="32" t="s">
        <v>281</v>
      </c>
      <c r="J70" s="33" t="s">
        <v>228</v>
      </c>
      <c r="K70" s="9">
        <f>COUNTIF('Contribution Log'!$N$2:$N$601,$B70)</f>
        <v>0</v>
      </c>
    </row>
    <row r="71" spans="2:11" x14ac:dyDescent="0.25">
      <c r="B71" s="32" t="s">
        <v>282</v>
      </c>
      <c r="C71" s="11" t="s">
        <v>224</v>
      </c>
      <c r="D71" s="32" t="s">
        <v>239</v>
      </c>
      <c r="E71" s="11" t="s">
        <v>42</v>
      </c>
      <c r="F71" s="11" t="s">
        <v>111</v>
      </c>
      <c r="G71" s="6" t="s">
        <v>240</v>
      </c>
      <c r="H71" s="6" t="s">
        <v>283</v>
      </c>
      <c r="I71" s="32" t="s">
        <v>51</v>
      </c>
      <c r="J71" s="33" t="s">
        <v>228</v>
      </c>
      <c r="K71" s="9">
        <f>COUNTIF('Contribution Log'!$N$2:$N$601,$B71)</f>
        <v>0</v>
      </c>
    </row>
    <row r="72" spans="2:11" x14ac:dyDescent="0.25">
      <c r="B72" s="32" t="s">
        <v>284</v>
      </c>
      <c r="C72" s="11" t="s">
        <v>224</v>
      </c>
      <c r="D72" s="32" t="s">
        <v>239</v>
      </c>
      <c r="E72" s="11" t="s">
        <v>55</v>
      </c>
      <c r="F72" s="11" t="s">
        <v>111</v>
      </c>
      <c r="G72" s="6" t="s">
        <v>274</v>
      </c>
      <c r="H72" s="6" t="s">
        <v>285</v>
      </c>
      <c r="I72" s="32" t="s">
        <v>286</v>
      </c>
      <c r="J72" s="33" t="s">
        <v>228</v>
      </c>
      <c r="K72" s="9">
        <f>COUNTIF('Contribution Log'!$N$2:$N$601,$B72)</f>
        <v>0</v>
      </c>
    </row>
    <row r="73" spans="2:11" x14ac:dyDescent="0.25">
      <c r="B73" s="32" t="s">
        <v>287</v>
      </c>
      <c r="C73" s="11" t="s">
        <v>224</v>
      </c>
      <c r="D73" s="32" t="s">
        <v>225</v>
      </c>
      <c r="E73" s="11"/>
      <c r="F73" s="11"/>
      <c r="G73" s="6" t="s">
        <v>274</v>
      </c>
      <c r="H73" s="6" t="s">
        <v>288</v>
      </c>
      <c r="I73" s="32" t="s">
        <v>289</v>
      </c>
      <c r="J73" s="33" t="s">
        <v>228</v>
      </c>
      <c r="K73" s="9">
        <f>COUNTIF('Contribution Log'!$N$2:$N$601,$B73)</f>
        <v>0</v>
      </c>
    </row>
    <row r="74" spans="2:11" x14ac:dyDescent="0.25">
      <c r="B74" s="32" t="s">
        <v>290</v>
      </c>
      <c r="C74" s="11" t="s">
        <v>224</v>
      </c>
      <c r="D74" s="32" t="s">
        <v>239</v>
      </c>
      <c r="E74" s="11" t="s">
        <v>261</v>
      </c>
      <c r="F74" s="11" t="s">
        <v>111</v>
      </c>
      <c r="G74" s="6" t="s">
        <v>250</v>
      </c>
      <c r="H74" s="6" t="s">
        <v>291</v>
      </c>
      <c r="I74" s="32" t="s">
        <v>263</v>
      </c>
      <c r="J74" s="33" t="s">
        <v>228</v>
      </c>
      <c r="K74" s="9">
        <f>COUNTIF('Contribution Log'!$N$2:$N$601,$B74)</f>
        <v>0</v>
      </c>
    </row>
    <row r="75" spans="2:11" x14ac:dyDescent="0.25">
      <c r="B75" s="32" t="s">
        <v>292</v>
      </c>
      <c r="C75" s="11" t="s">
        <v>224</v>
      </c>
      <c r="D75" s="32" t="s">
        <v>239</v>
      </c>
      <c r="E75" s="11" t="s">
        <v>55</v>
      </c>
      <c r="F75" s="11" t="s">
        <v>111</v>
      </c>
      <c r="G75" s="6" t="s">
        <v>274</v>
      </c>
      <c r="H75" s="6" t="s">
        <v>293</v>
      </c>
      <c r="I75" s="32" t="s">
        <v>294</v>
      </c>
      <c r="J75" s="33" t="s">
        <v>228</v>
      </c>
      <c r="K75" s="9">
        <f>COUNTIF('Contribution Log'!$N$2:$N$601,$B75)</f>
        <v>0</v>
      </c>
    </row>
    <row r="76" spans="2:11" x14ac:dyDescent="0.25">
      <c r="B76" s="32" t="s">
        <v>295</v>
      </c>
      <c r="C76" s="11" t="s">
        <v>224</v>
      </c>
      <c r="D76" s="32" t="s">
        <v>225</v>
      </c>
      <c r="E76" s="11"/>
      <c r="F76" s="11"/>
      <c r="G76" s="6" t="s">
        <v>274</v>
      </c>
      <c r="H76" s="6" t="s">
        <v>296</v>
      </c>
      <c r="I76" s="32" t="s">
        <v>297</v>
      </c>
      <c r="J76" s="33" t="s">
        <v>228</v>
      </c>
      <c r="K76" s="9">
        <f>COUNTIF('Contribution Log'!$N$2:$N$601,$B76)</f>
        <v>0</v>
      </c>
    </row>
    <row r="77" spans="2:11" x14ac:dyDescent="0.25">
      <c r="B77" s="32" t="s">
        <v>298</v>
      </c>
      <c r="C77" s="11" t="s">
        <v>224</v>
      </c>
      <c r="D77" s="32" t="s">
        <v>225</v>
      </c>
      <c r="E77" s="11"/>
      <c r="F77" s="11"/>
      <c r="G77" s="6" t="s">
        <v>299</v>
      </c>
      <c r="H77" s="6" t="s">
        <v>300</v>
      </c>
      <c r="I77" s="32" t="s">
        <v>301</v>
      </c>
      <c r="J77" s="33" t="s">
        <v>228</v>
      </c>
      <c r="K77" s="9">
        <f>COUNTIF('Contribution Log'!$N$2:$N$601,$B77)</f>
        <v>0</v>
      </c>
    </row>
    <row r="78" spans="2:11" ht="26" x14ac:dyDescent="0.25">
      <c r="B78" s="32" t="s">
        <v>302</v>
      </c>
      <c r="C78" s="11" t="s">
        <v>224</v>
      </c>
      <c r="D78" s="32" t="s">
        <v>225</v>
      </c>
      <c r="E78" s="11"/>
      <c r="F78" s="11"/>
      <c r="G78" s="6" t="s">
        <v>299</v>
      </c>
      <c r="H78" s="6" t="s">
        <v>303</v>
      </c>
      <c r="I78" s="32" t="s">
        <v>304</v>
      </c>
      <c r="J78" s="33" t="s">
        <v>228</v>
      </c>
      <c r="K78" s="9">
        <f>COUNTIF('Contribution Log'!$N$2:$N$601,$B78)</f>
        <v>0</v>
      </c>
    </row>
    <row r="79" spans="2:11" x14ac:dyDescent="0.25">
      <c r="B79" s="32" t="s">
        <v>305</v>
      </c>
      <c r="C79" s="11" t="s">
        <v>224</v>
      </c>
      <c r="D79" s="32" t="s">
        <v>225</v>
      </c>
      <c r="E79" s="11"/>
      <c r="F79" s="11"/>
      <c r="G79" s="6" t="s">
        <v>299</v>
      </c>
      <c r="H79" s="6" t="s">
        <v>306</v>
      </c>
      <c r="I79" s="32" t="s">
        <v>307</v>
      </c>
      <c r="J79" s="33" t="s">
        <v>308</v>
      </c>
      <c r="K79" s="9">
        <f>COUNTIF('Contribution Log'!$N$2:$N$601,$B79)</f>
        <v>0</v>
      </c>
    </row>
    <row r="80" spans="2:11" x14ac:dyDescent="0.25">
      <c r="B80" s="32" t="s">
        <v>309</v>
      </c>
      <c r="C80" s="11" t="s">
        <v>224</v>
      </c>
      <c r="D80" s="32" t="s">
        <v>225</v>
      </c>
      <c r="E80" s="11"/>
      <c r="F80" s="11"/>
      <c r="G80" s="6" t="s">
        <v>299</v>
      </c>
      <c r="H80" s="6" t="s">
        <v>310</v>
      </c>
      <c r="I80" s="32" t="s">
        <v>311</v>
      </c>
      <c r="J80" s="33" t="s">
        <v>228</v>
      </c>
      <c r="K80" s="9">
        <f>COUNTIF('Contribution Log'!$N$2:$N$601,$B80)</f>
        <v>0</v>
      </c>
    </row>
    <row r="81" spans="2:11" x14ac:dyDescent="0.25">
      <c r="B81" s="32" t="s">
        <v>312</v>
      </c>
      <c r="C81" s="11" t="s">
        <v>224</v>
      </c>
      <c r="D81" s="32" t="s">
        <v>225</v>
      </c>
      <c r="E81" s="11"/>
      <c r="F81" s="11"/>
      <c r="G81" s="6" t="s">
        <v>299</v>
      </c>
      <c r="H81" s="6" t="s">
        <v>313</v>
      </c>
      <c r="I81" s="32" t="s">
        <v>311</v>
      </c>
      <c r="J81" s="33" t="s">
        <v>228</v>
      </c>
      <c r="K81" s="9">
        <f>COUNTIF('Contribution Log'!$N$2:$N$601,$B81)</f>
        <v>0</v>
      </c>
    </row>
    <row r="82" spans="2:11" x14ac:dyDescent="0.25">
      <c r="B82" s="32" t="s">
        <v>314</v>
      </c>
      <c r="C82" s="11" t="s">
        <v>224</v>
      </c>
      <c r="D82" s="32" t="s">
        <v>225</v>
      </c>
      <c r="E82" s="11"/>
      <c r="F82" s="11"/>
      <c r="G82" s="6" t="s">
        <v>315</v>
      </c>
      <c r="H82" s="6" t="s">
        <v>316</v>
      </c>
      <c r="I82" s="32" t="s">
        <v>317</v>
      </c>
      <c r="J82" s="33" t="s">
        <v>308</v>
      </c>
      <c r="K82" s="9">
        <f>COUNTIF('Contribution Log'!$N$2:$N$601,$B82)</f>
        <v>0</v>
      </c>
    </row>
    <row r="83" spans="2:11" x14ac:dyDescent="0.25">
      <c r="B83" s="32" t="s">
        <v>318</v>
      </c>
      <c r="C83" s="11" t="s">
        <v>224</v>
      </c>
      <c r="D83" s="32" t="s">
        <v>225</v>
      </c>
      <c r="E83" s="11"/>
      <c r="F83" s="11"/>
      <c r="G83" s="6" t="s">
        <v>315</v>
      </c>
      <c r="H83" s="6" t="s">
        <v>319</v>
      </c>
      <c r="I83" s="32" t="s">
        <v>320</v>
      </c>
      <c r="J83" s="33" t="s">
        <v>321</v>
      </c>
      <c r="K83" s="9">
        <f>COUNTIF('Contribution Log'!$N$2:$N$601,$B83)</f>
        <v>0</v>
      </c>
    </row>
    <row r="84" spans="2:11" ht="26" x14ac:dyDescent="0.25">
      <c r="B84" s="32" t="s">
        <v>322</v>
      </c>
      <c r="C84" s="11" t="s">
        <v>224</v>
      </c>
      <c r="D84" s="32" t="s">
        <v>323</v>
      </c>
      <c r="E84" s="11" t="s">
        <v>254</v>
      </c>
      <c r="F84" s="11" t="s">
        <v>111</v>
      </c>
      <c r="G84" s="6" t="s">
        <v>246</v>
      </c>
      <c r="H84" s="6" t="s">
        <v>324</v>
      </c>
      <c r="I84" s="32" t="s">
        <v>325</v>
      </c>
      <c r="J84" s="33" t="s">
        <v>228</v>
      </c>
      <c r="K84" s="9">
        <f>COUNTIF('Contribution Log'!$N$2:$N$601,$B84)</f>
        <v>1</v>
      </c>
    </row>
    <row r="85" spans="2:11" x14ac:dyDescent="0.25">
      <c r="B85" s="32" t="s">
        <v>326</v>
      </c>
      <c r="C85" s="11" t="s">
        <v>224</v>
      </c>
      <c r="D85" s="32" t="s">
        <v>225</v>
      </c>
      <c r="E85" s="11"/>
      <c r="F85" s="11"/>
      <c r="G85" s="6" t="s">
        <v>250</v>
      </c>
      <c r="H85" s="6" t="s">
        <v>327</v>
      </c>
      <c r="I85" s="32" t="s">
        <v>328</v>
      </c>
      <c r="J85" s="33" t="s">
        <v>228</v>
      </c>
      <c r="K85" s="9">
        <f>COUNTIF('Contribution Log'!$N$2:$N$601,$B85)</f>
        <v>0</v>
      </c>
    </row>
    <row r="86" spans="2:11" x14ac:dyDescent="0.25">
      <c r="B86" s="32" t="s">
        <v>329</v>
      </c>
      <c r="C86" s="11" t="s">
        <v>224</v>
      </c>
      <c r="D86" s="32" t="s">
        <v>225</v>
      </c>
      <c r="E86" s="11"/>
      <c r="F86" s="11"/>
      <c r="G86" s="6" t="s">
        <v>226</v>
      </c>
      <c r="H86" s="6" t="s">
        <v>330</v>
      </c>
      <c r="I86" s="32" t="s">
        <v>44</v>
      </c>
      <c r="J86" s="33" t="s">
        <v>228</v>
      </c>
      <c r="K86" s="9">
        <f>COUNTIF('Contribution Log'!$N$2:$N$601,$B86)</f>
        <v>0</v>
      </c>
    </row>
    <row r="87" spans="2:11" x14ac:dyDescent="0.25">
      <c r="B87" s="32" t="s">
        <v>331</v>
      </c>
      <c r="C87" s="11" t="s">
        <v>224</v>
      </c>
      <c r="D87" s="32" t="s">
        <v>225</v>
      </c>
      <c r="E87" s="11"/>
      <c r="F87" s="11"/>
      <c r="G87" s="6" t="s">
        <v>240</v>
      </c>
      <c r="H87" s="6" t="s">
        <v>332</v>
      </c>
      <c r="I87" s="32"/>
      <c r="J87" s="33"/>
      <c r="K87" s="9">
        <f>COUNTIF('Contribution Log'!$N$2:$N$601,$B87)</f>
        <v>0</v>
      </c>
    </row>
    <row r="88" spans="2:11" x14ac:dyDescent="0.25">
      <c r="B88" s="32" t="s">
        <v>333</v>
      </c>
      <c r="C88" s="11" t="s">
        <v>224</v>
      </c>
      <c r="D88" s="32" t="s">
        <v>225</v>
      </c>
      <c r="E88" s="11"/>
      <c r="F88" s="11"/>
      <c r="G88" s="6" t="s">
        <v>274</v>
      </c>
      <c r="H88" s="6" t="s">
        <v>334</v>
      </c>
      <c r="I88" s="32" t="s">
        <v>335</v>
      </c>
      <c r="J88" s="33" t="s">
        <v>228</v>
      </c>
      <c r="K88" s="9">
        <f>COUNTIF('Contribution Log'!$N$2:$N$601,$B88)</f>
        <v>0</v>
      </c>
    </row>
    <row r="89" spans="2:11" x14ac:dyDescent="0.25">
      <c r="B89" s="32" t="s">
        <v>336</v>
      </c>
      <c r="C89" s="11" t="s">
        <v>224</v>
      </c>
      <c r="D89" s="32" t="s">
        <v>225</v>
      </c>
      <c r="E89" s="11"/>
      <c r="F89" s="11"/>
      <c r="G89" s="6" t="s">
        <v>274</v>
      </c>
      <c r="H89" s="6" t="s">
        <v>337</v>
      </c>
      <c r="I89" s="32" t="s">
        <v>338</v>
      </c>
      <c r="J89" s="33" t="s">
        <v>228</v>
      </c>
      <c r="K89" s="9">
        <f>COUNTIF('Contribution Log'!$N$2:$N$601,$B89)</f>
        <v>0</v>
      </c>
    </row>
    <row r="90" spans="2:11" x14ac:dyDescent="0.25">
      <c r="B90" s="32" t="s">
        <v>339</v>
      </c>
      <c r="C90" s="11" t="s">
        <v>224</v>
      </c>
      <c r="D90" s="32" t="s">
        <v>225</v>
      </c>
      <c r="E90" s="11"/>
      <c r="F90" s="11"/>
      <c r="G90" s="6" t="s">
        <v>250</v>
      </c>
      <c r="H90" s="6" t="s">
        <v>340</v>
      </c>
      <c r="I90" s="32" t="s">
        <v>341</v>
      </c>
      <c r="J90" s="33" t="s">
        <v>228</v>
      </c>
      <c r="K90" s="9">
        <f>COUNTIF('Contribution Log'!$N$2:$N$601,$B90)</f>
        <v>0</v>
      </c>
    </row>
    <row r="91" spans="2:11" x14ac:dyDescent="0.25">
      <c r="B91" s="32" t="s">
        <v>342</v>
      </c>
      <c r="C91" s="11" t="s">
        <v>224</v>
      </c>
      <c r="D91" s="32" t="s">
        <v>225</v>
      </c>
      <c r="E91" s="11"/>
      <c r="F91" s="11"/>
      <c r="G91" s="6" t="s">
        <v>274</v>
      </c>
      <c r="H91" s="6" t="s">
        <v>343</v>
      </c>
      <c r="I91" s="32" t="s">
        <v>344</v>
      </c>
      <c r="J91" s="33" t="s">
        <v>228</v>
      </c>
      <c r="K91" s="9">
        <f>COUNTIF('Contribution Log'!$N$2:$N$601,$B91)</f>
        <v>0</v>
      </c>
    </row>
    <row r="92" spans="2:11" x14ac:dyDescent="0.25">
      <c r="B92" s="32" t="s">
        <v>345</v>
      </c>
      <c r="C92" s="11" t="s">
        <v>224</v>
      </c>
      <c r="D92" s="32" t="s">
        <v>225</v>
      </c>
      <c r="E92" s="11"/>
      <c r="F92" s="11"/>
      <c r="G92" s="6" t="s">
        <v>274</v>
      </c>
      <c r="H92" s="6" t="s">
        <v>346</v>
      </c>
      <c r="I92" s="32" t="s">
        <v>347</v>
      </c>
      <c r="J92" s="33" t="s">
        <v>228</v>
      </c>
      <c r="K92" s="9">
        <f>COUNTIF('Contribution Log'!$N$2:$N$601,$B92)</f>
        <v>0</v>
      </c>
    </row>
    <row r="93" spans="2:11" x14ac:dyDescent="0.25">
      <c r="B93" s="32" t="s">
        <v>348</v>
      </c>
      <c r="C93" s="11" t="s">
        <v>224</v>
      </c>
      <c r="D93" s="32" t="s">
        <v>225</v>
      </c>
      <c r="E93" s="11"/>
      <c r="F93" s="11"/>
      <c r="G93" s="6" t="s">
        <v>299</v>
      </c>
      <c r="H93" s="6" t="s">
        <v>349</v>
      </c>
      <c r="I93" s="32" t="s">
        <v>350</v>
      </c>
      <c r="J93" s="33" t="s">
        <v>228</v>
      </c>
      <c r="K93" s="9">
        <f>COUNTIF('Contribution Log'!$N$2:$N$601,$B93)</f>
        <v>0</v>
      </c>
    </row>
    <row r="94" spans="2:11" x14ac:dyDescent="0.25">
      <c r="B94" s="32" t="s">
        <v>351</v>
      </c>
      <c r="C94" s="11" t="s">
        <v>234</v>
      </c>
      <c r="D94" s="32" t="s">
        <v>225</v>
      </c>
      <c r="E94" s="11"/>
      <c r="F94" s="11" t="s">
        <v>111</v>
      </c>
      <c r="G94" s="6" t="s">
        <v>240</v>
      </c>
      <c r="H94" s="6" t="s">
        <v>352</v>
      </c>
      <c r="I94" s="32" t="s">
        <v>242</v>
      </c>
      <c r="J94" s="33" t="s">
        <v>353</v>
      </c>
      <c r="K94" s="9">
        <f>COUNTIF('Contribution Log'!$N$2:$N$601,$B94)</f>
        <v>0</v>
      </c>
    </row>
    <row r="95" spans="2:11" x14ac:dyDescent="0.25">
      <c r="B95" s="32" t="s">
        <v>354</v>
      </c>
      <c r="C95" s="11" t="s">
        <v>234</v>
      </c>
      <c r="D95" s="32" t="s">
        <v>225</v>
      </c>
      <c r="E95" s="11"/>
      <c r="F95" s="11" t="s">
        <v>111</v>
      </c>
      <c r="G95" s="6" t="s">
        <v>240</v>
      </c>
      <c r="H95" s="6" t="s">
        <v>355</v>
      </c>
      <c r="I95" s="32" t="s">
        <v>242</v>
      </c>
      <c r="J95" s="33" t="s">
        <v>353</v>
      </c>
      <c r="K95" s="9">
        <f>COUNTIF('Contribution Log'!$N$2:$N$601,$B95)</f>
        <v>0</v>
      </c>
    </row>
    <row r="96" spans="2:11" x14ac:dyDescent="0.25">
      <c r="B96" s="32" t="s">
        <v>356</v>
      </c>
      <c r="C96" s="11" t="s">
        <v>234</v>
      </c>
      <c r="D96" s="32" t="s">
        <v>225</v>
      </c>
      <c r="E96" s="11"/>
      <c r="F96" s="11" t="s">
        <v>111</v>
      </c>
      <c r="G96" s="6" t="s">
        <v>240</v>
      </c>
      <c r="H96" s="6" t="s">
        <v>357</v>
      </c>
      <c r="I96" s="32" t="s">
        <v>242</v>
      </c>
      <c r="J96" s="33" t="s">
        <v>353</v>
      </c>
      <c r="K96" s="9">
        <f>COUNTIF('Contribution Log'!$N$2:$N$601,$B96)</f>
        <v>0</v>
      </c>
    </row>
    <row r="97" spans="2:11" x14ac:dyDescent="0.25">
      <c r="B97" s="32" t="s">
        <v>358</v>
      </c>
      <c r="C97" s="11" t="s">
        <v>234</v>
      </c>
      <c r="D97" s="32" t="s">
        <v>225</v>
      </c>
      <c r="E97" s="11"/>
      <c r="F97" s="11"/>
      <c r="G97" s="6" t="s">
        <v>274</v>
      </c>
      <c r="H97" s="6" t="s">
        <v>359</v>
      </c>
      <c r="I97" s="32" t="s">
        <v>297</v>
      </c>
      <c r="J97" s="33" t="s">
        <v>353</v>
      </c>
      <c r="K97" s="9">
        <f>COUNTIF('Contribution Log'!$N$2:$N$601,$B97)</f>
        <v>0</v>
      </c>
    </row>
    <row r="98" spans="2:11" x14ac:dyDescent="0.25">
      <c r="B98" s="32" t="s">
        <v>360</v>
      </c>
      <c r="C98" s="11" t="s">
        <v>234</v>
      </c>
      <c r="D98" s="32" t="s">
        <v>225</v>
      </c>
      <c r="E98" s="11"/>
      <c r="F98" s="11"/>
      <c r="G98" s="6" t="s">
        <v>274</v>
      </c>
      <c r="H98" s="6" t="s">
        <v>361</v>
      </c>
      <c r="I98" s="32" t="s">
        <v>297</v>
      </c>
      <c r="J98" s="33" t="s">
        <v>353</v>
      </c>
      <c r="K98" s="9">
        <f>COUNTIF('Contribution Log'!$N$2:$N$601,$B98)</f>
        <v>0</v>
      </c>
    </row>
    <row r="99" spans="2:11" x14ac:dyDescent="0.25">
      <c r="B99" s="32" t="s">
        <v>362</v>
      </c>
      <c r="C99" s="11" t="s">
        <v>234</v>
      </c>
      <c r="D99" s="32" t="s">
        <v>225</v>
      </c>
      <c r="E99" s="11"/>
      <c r="F99" s="11"/>
      <c r="G99" s="6" t="s">
        <v>274</v>
      </c>
      <c r="H99" s="6" t="s">
        <v>363</v>
      </c>
      <c r="I99" s="32" t="s">
        <v>297</v>
      </c>
      <c r="J99" s="33" t="s">
        <v>353</v>
      </c>
      <c r="K99" s="9">
        <f>COUNTIF('Contribution Log'!$N$2:$N$601,$B99)</f>
        <v>0</v>
      </c>
    </row>
    <row r="100" spans="2:11" x14ac:dyDescent="0.25">
      <c r="B100" s="32" t="s">
        <v>364</v>
      </c>
      <c r="C100" s="11" t="s">
        <v>234</v>
      </c>
      <c r="D100" s="32" t="s">
        <v>225</v>
      </c>
      <c r="E100" s="11"/>
      <c r="F100" s="11"/>
      <c r="G100" s="6" t="s">
        <v>274</v>
      </c>
      <c r="H100" s="6" t="s">
        <v>365</v>
      </c>
      <c r="I100" s="32" t="s">
        <v>297</v>
      </c>
      <c r="J100" s="33" t="s">
        <v>353</v>
      </c>
      <c r="K100" s="9">
        <f>COUNTIF('Contribution Log'!$N$2:$N$601,$B100)</f>
        <v>0</v>
      </c>
    </row>
    <row r="101" spans="2:11" x14ac:dyDescent="0.25">
      <c r="B101" s="32" t="s">
        <v>366</v>
      </c>
      <c r="C101" s="11" t="s">
        <v>234</v>
      </c>
      <c r="D101" s="32" t="s">
        <v>225</v>
      </c>
      <c r="E101" s="11"/>
      <c r="F101" s="11"/>
      <c r="G101" s="6" t="s">
        <v>274</v>
      </c>
      <c r="H101" s="6" t="s">
        <v>367</v>
      </c>
      <c r="I101" s="32" t="s">
        <v>297</v>
      </c>
      <c r="J101" s="33" t="s">
        <v>353</v>
      </c>
      <c r="K101" s="9">
        <f>COUNTIF('Contribution Log'!$N$2:$N$601,$B101)</f>
        <v>0</v>
      </c>
    </row>
    <row r="102" spans="2:11" x14ac:dyDescent="0.25">
      <c r="B102" s="32" t="s">
        <v>368</v>
      </c>
      <c r="C102" s="11" t="s">
        <v>234</v>
      </c>
      <c r="D102" s="32" t="s">
        <v>225</v>
      </c>
      <c r="E102" s="11"/>
      <c r="F102" s="11"/>
      <c r="G102" s="6" t="s">
        <v>299</v>
      </c>
      <c r="H102" s="6" t="s">
        <v>369</v>
      </c>
      <c r="I102" s="32" t="s">
        <v>370</v>
      </c>
      <c r="J102" s="33" t="s">
        <v>353</v>
      </c>
      <c r="K102" s="9">
        <f>COUNTIF('Contribution Log'!$N$2:$N$601,$B102)</f>
        <v>0</v>
      </c>
    </row>
    <row r="103" spans="2:11" x14ac:dyDescent="0.25">
      <c r="B103" s="32" t="s">
        <v>371</v>
      </c>
      <c r="C103" s="11" t="s">
        <v>234</v>
      </c>
      <c r="D103" s="32" t="s">
        <v>225</v>
      </c>
      <c r="E103" s="11"/>
      <c r="F103" s="11"/>
      <c r="G103" s="6" t="s">
        <v>299</v>
      </c>
      <c r="H103" s="6" t="s">
        <v>372</v>
      </c>
      <c r="I103" s="32" t="s">
        <v>370</v>
      </c>
      <c r="J103" s="33" t="s">
        <v>353</v>
      </c>
      <c r="K103" s="9">
        <f>COUNTIF('Contribution Log'!$N$2:$N$601,$B103)</f>
        <v>0</v>
      </c>
    </row>
    <row r="104" spans="2:11" x14ac:dyDescent="0.25">
      <c r="B104" s="32" t="s">
        <v>373</v>
      </c>
      <c r="C104" s="11" t="s">
        <v>234</v>
      </c>
      <c r="D104" s="32" t="s">
        <v>225</v>
      </c>
      <c r="E104" s="11"/>
      <c r="F104" s="11"/>
      <c r="G104" s="6" t="s">
        <v>315</v>
      </c>
      <c r="H104" s="6" t="s">
        <v>374</v>
      </c>
      <c r="I104" s="32" t="s">
        <v>375</v>
      </c>
      <c r="J104" s="33" t="s">
        <v>353</v>
      </c>
      <c r="K104" s="9">
        <f>COUNTIF('Contribution Log'!$N$2:$N$601,$B104)</f>
        <v>0</v>
      </c>
    </row>
    <row r="105" spans="2:11" x14ac:dyDescent="0.25">
      <c r="B105" s="32" t="s">
        <v>376</v>
      </c>
      <c r="C105" s="11" t="s">
        <v>234</v>
      </c>
      <c r="D105" s="32" t="s">
        <v>225</v>
      </c>
      <c r="E105" s="11"/>
      <c r="F105" s="11"/>
      <c r="G105" s="6" t="s">
        <v>315</v>
      </c>
      <c r="H105" s="6" t="s">
        <v>377</v>
      </c>
      <c r="I105" s="32" t="s">
        <v>375</v>
      </c>
      <c r="J105" s="33" t="s">
        <v>353</v>
      </c>
      <c r="K105" s="9">
        <f>COUNTIF('Contribution Log'!$N$2:$N$601,$B105)</f>
        <v>0</v>
      </c>
    </row>
    <row r="106" spans="2:11" x14ac:dyDescent="0.25">
      <c r="B106" s="32" t="s">
        <v>378</v>
      </c>
      <c r="C106" s="11" t="s">
        <v>234</v>
      </c>
      <c r="D106" s="32" t="s">
        <v>225</v>
      </c>
      <c r="E106" s="11"/>
      <c r="F106" s="11"/>
      <c r="G106" s="6" t="s">
        <v>315</v>
      </c>
      <c r="H106" s="6" t="s">
        <v>379</v>
      </c>
      <c r="I106" s="32" t="s">
        <v>375</v>
      </c>
      <c r="J106" s="33" t="s">
        <v>353</v>
      </c>
      <c r="K106" s="9">
        <f>COUNTIF('Contribution Log'!$N$2:$N$601,$B106)</f>
        <v>0</v>
      </c>
    </row>
    <row r="107" spans="2:11" x14ac:dyDescent="0.25">
      <c r="B107" s="32" t="s">
        <v>380</v>
      </c>
      <c r="C107" s="11" t="s">
        <v>234</v>
      </c>
      <c r="D107" s="32" t="s">
        <v>225</v>
      </c>
      <c r="E107" s="11"/>
      <c r="F107" s="11"/>
      <c r="G107" s="6" t="s">
        <v>315</v>
      </c>
      <c r="H107" s="6" t="s">
        <v>381</v>
      </c>
      <c r="I107" s="32" t="s">
        <v>375</v>
      </c>
      <c r="J107" s="33" t="s">
        <v>353</v>
      </c>
      <c r="K107" s="9">
        <f>COUNTIF('Contribution Log'!$N$2:$N$601,$B107)</f>
        <v>0</v>
      </c>
    </row>
    <row r="108" spans="2:11" x14ac:dyDescent="0.25">
      <c r="B108" s="32" t="s">
        <v>382</v>
      </c>
      <c r="C108" s="11" t="s">
        <v>224</v>
      </c>
      <c r="D108" s="32" t="s">
        <v>239</v>
      </c>
      <c r="E108" s="11"/>
      <c r="F108" s="11"/>
      <c r="G108" s="6" t="s">
        <v>383</v>
      </c>
      <c r="H108" s="6" t="s">
        <v>384</v>
      </c>
      <c r="I108" s="32" t="s">
        <v>385</v>
      </c>
      <c r="J108" s="33" t="s">
        <v>228</v>
      </c>
      <c r="K108" s="9">
        <f>COUNTIF('Contribution Log'!$N$2:$N$601,$B108)</f>
        <v>0</v>
      </c>
    </row>
    <row r="109" spans="2:11" x14ac:dyDescent="0.25">
      <c r="B109" s="32" t="s">
        <v>386</v>
      </c>
      <c r="C109" s="11" t="s">
        <v>224</v>
      </c>
      <c r="D109" s="32" t="s">
        <v>225</v>
      </c>
      <c r="E109" s="11"/>
      <c r="F109" s="11"/>
      <c r="G109" s="6" t="s">
        <v>383</v>
      </c>
      <c r="H109" s="6" t="s">
        <v>387</v>
      </c>
      <c r="I109" s="32" t="s">
        <v>385</v>
      </c>
      <c r="J109" s="33" t="s">
        <v>228</v>
      </c>
      <c r="K109" s="9">
        <f>COUNTIF('Contribution Log'!$N$2:$N$601,$B109)</f>
        <v>0</v>
      </c>
    </row>
    <row r="110" spans="2:11" x14ac:dyDescent="0.25">
      <c r="B110" s="32" t="s">
        <v>388</v>
      </c>
      <c r="C110" s="11" t="s">
        <v>224</v>
      </c>
      <c r="D110" s="32" t="s">
        <v>225</v>
      </c>
      <c r="E110" s="11"/>
      <c r="F110" s="11"/>
      <c r="G110" s="6" t="s">
        <v>383</v>
      </c>
      <c r="H110" s="6" t="s">
        <v>389</v>
      </c>
      <c r="I110" s="32" t="s">
        <v>390</v>
      </c>
      <c r="J110" s="33" t="s">
        <v>228</v>
      </c>
      <c r="K110" s="9">
        <f>COUNTIF('Contribution Log'!$N$2:$N$601,$B110)</f>
        <v>0</v>
      </c>
    </row>
    <row r="111" spans="2:11" x14ac:dyDescent="0.25">
      <c r="B111" s="32" t="s">
        <v>391</v>
      </c>
      <c r="C111" s="11" t="s">
        <v>224</v>
      </c>
      <c r="D111" s="32" t="s">
        <v>225</v>
      </c>
      <c r="E111" s="11"/>
      <c r="F111" s="11"/>
      <c r="G111" s="6" t="s">
        <v>383</v>
      </c>
      <c r="H111" s="6" t="s">
        <v>392</v>
      </c>
      <c r="I111" s="32" t="s">
        <v>390</v>
      </c>
      <c r="J111" s="33" t="s">
        <v>228</v>
      </c>
      <c r="K111" s="9">
        <f>COUNTIF('Contribution Log'!$N$2:$N$601,$B111)</f>
        <v>0</v>
      </c>
    </row>
    <row r="112" spans="2:11" x14ac:dyDescent="0.25">
      <c r="B112" s="32" t="s">
        <v>393</v>
      </c>
      <c r="C112" s="11" t="s">
        <v>224</v>
      </c>
      <c r="D112" s="32" t="s">
        <v>225</v>
      </c>
      <c r="E112" s="11"/>
      <c r="F112" s="11"/>
      <c r="G112" s="6" t="s">
        <v>383</v>
      </c>
      <c r="H112" s="6" t="s">
        <v>394</v>
      </c>
      <c r="I112" s="32" t="s">
        <v>395</v>
      </c>
      <c r="J112" s="33" t="s">
        <v>228</v>
      </c>
      <c r="K112" s="9">
        <f>COUNTIF('Contribution Log'!$N$2:$N$601,$B112)</f>
        <v>0</v>
      </c>
    </row>
    <row r="113" spans="2:11" x14ac:dyDescent="0.25">
      <c r="B113" s="32" t="s">
        <v>396</v>
      </c>
      <c r="C113" s="11" t="s">
        <v>224</v>
      </c>
      <c r="D113" s="32" t="s">
        <v>225</v>
      </c>
      <c r="E113" s="11"/>
      <c r="F113" s="11"/>
      <c r="G113" s="6" t="s">
        <v>383</v>
      </c>
      <c r="H113" s="6" t="s">
        <v>397</v>
      </c>
      <c r="I113" s="32" t="s">
        <v>398</v>
      </c>
      <c r="J113" s="33" t="s">
        <v>228</v>
      </c>
      <c r="K113" s="9">
        <f>COUNTIF('Contribution Log'!$N$2:$N$601,$B113)</f>
        <v>0</v>
      </c>
    </row>
    <row r="114" spans="2:11" x14ac:dyDescent="0.25">
      <c r="B114" s="32" t="s">
        <v>399</v>
      </c>
      <c r="C114" s="11" t="s">
        <v>224</v>
      </c>
      <c r="D114" s="32" t="s">
        <v>225</v>
      </c>
      <c r="E114" s="11"/>
      <c r="F114" s="11"/>
      <c r="G114" s="6" t="s">
        <v>383</v>
      </c>
      <c r="H114" s="6" t="s">
        <v>400</v>
      </c>
      <c r="I114" s="32" t="s">
        <v>401</v>
      </c>
      <c r="J114" s="33" t="s">
        <v>228</v>
      </c>
      <c r="K114" s="9">
        <f>COUNTIF('Contribution Log'!$N$2:$N$601,$B114)</f>
        <v>0</v>
      </c>
    </row>
    <row r="115" spans="2:11" x14ac:dyDescent="0.25">
      <c r="B115" s="32" t="s">
        <v>402</v>
      </c>
      <c r="C115" s="11" t="s">
        <v>224</v>
      </c>
      <c r="D115" s="32" t="s">
        <v>225</v>
      </c>
      <c r="E115" s="11"/>
      <c r="F115" s="11"/>
      <c r="G115" s="6" t="s">
        <v>383</v>
      </c>
      <c r="H115" s="6" t="s">
        <v>403</v>
      </c>
      <c r="I115" s="32" t="s">
        <v>401</v>
      </c>
      <c r="J115" s="33" t="s">
        <v>228</v>
      </c>
      <c r="K115" s="9">
        <f>COUNTIF('Contribution Log'!$N$2:$N$601,$B115)</f>
        <v>0</v>
      </c>
    </row>
    <row r="116" spans="2:11" x14ac:dyDescent="0.25">
      <c r="B116" s="32" t="s">
        <v>404</v>
      </c>
      <c r="C116" s="11" t="s">
        <v>224</v>
      </c>
      <c r="D116" s="32" t="s">
        <v>239</v>
      </c>
      <c r="E116" s="11" t="s">
        <v>41</v>
      </c>
      <c r="F116" s="11" t="s">
        <v>111</v>
      </c>
      <c r="G116" s="6" t="s">
        <v>405</v>
      </c>
      <c r="H116" s="6" t="s">
        <v>406</v>
      </c>
      <c r="I116" s="32" t="s">
        <v>407</v>
      </c>
      <c r="J116" s="33" t="s">
        <v>228</v>
      </c>
      <c r="K116" s="9">
        <f>COUNTIF('Contribution Log'!$N$2:$N$601,$B116)</f>
        <v>0</v>
      </c>
    </row>
    <row r="117" spans="2:11" x14ac:dyDescent="0.25">
      <c r="B117" s="32" t="s">
        <v>408</v>
      </c>
      <c r="C117" s="11" t="s">
        <v>224</v>
      </c>
      <c r="D117" s="32" t="s">
        <v>143</v>
      </c>
      <c r="E117" s="11" t="s">
        <v>41</v>
      </c>
      <c r="F117" s="11" t="s">
        <v>111</v>
      </c>
      <c r="G117" s="6" t="s">
        <v>405</v>
      </c>
      <c r="H117" s="6" t="s">
        <v>409</v>
      </c>
      <c r="I117" s="32" t="s">
        <v>410</v>
      </c>
      <c r="J117" s="33" t="s">
        <v>228</v>
      </c>
      <c r="K117" s="9">
        <f>COUNTIF('Contribution Log'!$N$2:$N$601,$B117)</f>
        <v>1</v>
      </c>
    </row>
    <row r="118" spans="2:11" x14ac:dyDescent="0.25">
      <c r="B118" s="32" t="s">
        <v>411</v>
      </c>
      <c r="C118" s="11" t="s">
        <v>224</v>
      </c>
      <c r="D118" s="32" t="s">
        <v>239</v>
      </c>
      <c r="E118" s="11" t="s">
        <v>41</v>
      </c>
      <c r="F118" s="11" t="s">
        <v>111</v>
      </c>
      <c r="G118" s="6" t="s">
        <v>405</v>
      </c>
      <c r="H118" s="6" t="s">
        <v>412</v>
      </c>
      <c r="I118" s="32" t="s">
        <v>413</v>
      </c>
      <c r="J118" s="33" t="s">
        <v>228</v>
      </c>
      <c r="K118" s="9">
        <f>COUNTIF('Contribution Log'!$N$2:$N$601,$B118)</f>
        <v>0</v>
      </c>
    </row>
    <row r="119" spans="2:11" x14ac:dyDescent="0.25">
      <c r="B119" s="32" t="s">
        <v>414</v>
      </c>
      <c r="C119" s="11" t="s">
        <v>224</v>
      </c>
      <c r="D119" s="32" t="s">
        <v>225</v>
      </c>
      <c r="E119" s="11"/>
      <c r="F119" s="11"/>
      <c r="G119" s="6" t="s">
        <v>250</v>
      </c>
      <c r="H119" s="6" t="s">
        <v>415</v>
      </c>
      <c r="I119" s="32" t="s">
        <v>416</v>
      </c>
      <c r="J119" s="33" t="s">
        <v>228</v>
      </c>
      <c r="K119" s="9">
        <f>COUNTIF('Contribution Log'!$N$2:$N$601,$B119)</f>
        <v>0</v>
      </c>
    </row>
    <row r="120" spans="2:11" x14ac:dyDescent="0.25">
      <c r="B120" s="32" t="s">
        <v>417</v>
      </c>
      <c r="C120" s="11" t="s">
        <v>224</v>
      </c>
      <c r="D120" s="32" t="s">
        <v>225</v>
      </c>
      <c r="E120" s="11"/>
      <c r="F120" s="11"/>
      <c r="G120" s="6" t="s">
        <v>274</v>
      </c>
      <c r="H120" s="6" t="s">
        <v>418</v>
      </c>
      <c r="I120" s="32" t="s">
        <v>419</v>
      </c>
      <c r="J120" s="33" t="s">
        <v>228</v>
      </c>
      <c r="K120" s="9">
        <f>COUNTIF('Contribution Log'!$N$2:$N$601,$B120)</f>
        <v>0</v>
      </c>
    </row>
    <row r="121" spans="2:11" x14ac:dyDescent="0.25">
      <c r="B121" s="32" t="s">
        <v>420</v>
      </c>
      <c r="C121" s="11" t="s">
        <v>224</v>
      </c>
      <c r="D121" s="32" t="s">
        <v>225</v>
      </c>
      <c r="E121" s="11"/>
      <c r="F121" s="11"/>
      <c r="G121" s="6" t="s">
        <v>240</v>
      </c>
      <c r="H121" s="6" t="s">
        <v>421</v>
      </c>
      <c r="I121" s="32" t="s">
        <v>422</v>
      </c>
      <c r="J121" s="33" t="s">
        <v>228</v>
      </c>
      <c r="K121" s="9">
        <f>COUNTIF('Contribution Log'!$N$2:$N$601,$B121)</f>
        <v>0</v>
      </c>
    </row>
    <row r="122" spans="2:11" x14ac:dyDescent="0.25">
      <c r="B122" s="32" t="s">
        <v>423</v>
      </c>
      <c r="C122" s="11" t="s">
        <v>224</v>
      </c>
      <c r="D122" s="32" t="s">
        <v>225</v>
      </c>
      <c r="E122" s="11"/>
      <c r="F122" s="11"/>
      <c r="G122" s="6" t="s">
        <v>246</v>
      </c>
      <c r="H122" s="6" t="s">
        <v>424</v>
      </c>
      <c r="I122" s="32" t="s">
        <v>425</v>
      </c>
      <c r="J122" s="33" t="s">
        <v>228</v>
      </c>
      <c r="K122" s="9">
        <f>COUNTIF('Contribution Log'!$N$2:$N$601,$B122)</f>
        <v>0</v>
      </c>
    </row>
    <row r="123" spans="2:11" x14ac:dyDescent="0.25">
      <c r="B123" s="32" t="s">
        <v>426</v>
      </c>
      <c r="C123" s="11" t="s">
        <v>224</v>
      </c>
      <c r="D123" s="32" t="s">
        <v>225</v>
      </c>
      <c r="E123" s="11"/>
      <c r="F123" s="11"/>
      <c r="G123" s="6" t="s">
        <v>250</v>
      </c>
      <c r="H123" s="6" t="s">
        <v>427</v>
      </c>
      <c r="I123" s="32" t="s">
        <v>428</v>
      </c>
      <c r="J123" s="33" t="s">
        <v>228</v>
      </c>
      <c r="K123" s="9">
        <f>COUNTIF('Contribution Log'!$N$2:$N$601,$B123)</f>
        <v>0</v>
      </c>
    </row>
    <row r="124" spans="2:11" x14ac:dyDescent="0.25">
      <c r="B124" s="32" t="s">
        <v>429</v>
      </c>
      <c r="C124" s="11" t="s">
        <v>224</v>
      </c>
      <c r="D124" s="32" t="s">
        <v>225</v>
      </c>
      <c r="E124" s="11"/>
      <c r="F124" s="11"/>
      <c r="G124" s="6" t="s">
        <v>246</v>
      </c>
      <c r="H124" s="6" t="s">
        <v>430</v>
      </c>
      <c r="I124" s="32" t="s">
        <v>431</v>
      </c>
      <c r="J124" s="33" t="s">
        <v>228</v>
      </c>
      <c r="K124" s="9">
        <f>COUNTIF('Contribution Log'!$N$2:$N$601,$B124)</f>
        <v>0</v>
      </c>
    </row>
    <row r="125" spans="2:11" x14ac:dyDescent="0.25">
      <c r="B125" s="32" t="s">
        <v>432</v>
      </c>
      <c r="C125" s="11" t="s">
        <v>224</v>
      </c>
      <c r="D125" s="32" t="s">
        <v>225</v>
      </c>
      <c r="E125" s="11"/>
      <c r="F125" s="11"/>
      <c r="G125" s="6" t="s">
        <v>250</v>
      </c>
      <c r="H125" s="6" t="s">
        <v>433</v>
      </c>
      <c r="I125" s="32" t="s">
        <v>434</v>
      </c>
      <c r="J125" s="33" t="s">
        <v>228</v>
      </c>
      <c r="K125" s="9">
        <f>COUNTIF('Contribution Log'!$N$2:$N$601,$B125)</f>
        <v>0</v>
      </c>
    </row>
  </sheetData>
  <autoFilter ref="B52:K125" xr:uid="{00000000-0009-0000-0000-000003000000}"/>
  <mergeCells count="26">
    <mergeCell ref="L5:M5"/>
    <mergeCell ref="E9:F9"/>
    <mergeCell ref="E15:F15"/>
    <mergeCell ref="C37:K37"/>
    <mergeCell ref="E11:F11"/>
    <mergeCell ref="B6:C6"/>
    <mergeCell ref="E16:F16"/>
    <mergeCell ref="L6:M6"/>
    <mergeCell ref="B5:C5"/>
    <mergeCell ref="D5:E5"/>
    <mergeCell ref="H5:I5"/>
    <mergeCell ref="E18:F18"/>
    <mergeCell ref="C36:K36"/>
    <mergeCell ref="D49:K49"/>
    <mergeCell ref="F5:G5"/>
    <mergeCell ref="E19:F19"/>
    <mergeCell ref="E13:F13"/>
    <mergeCell ref="E12:F12"/>
    <mergeCell ref="J5:K5"/>
    <mergeCell ref="F6:G6"/>
    <mergeCell ref="E14:F14"/>
    <mergeCell ref="E17:F17"/>
    <mergeCell ref="D6:E6"/>
    <mergeCell ref="H6:I6"/>
    <mergeCell ref="J6:K6"/>
    <mergeCell ref="E10:F10"/>
  </mergeCells>
  <phoneticPr fontId="11" type="noConversion"/>
  <conditionalFormatting sqref="B53:K125">
    <cfRule type="expression" dxfId="5" priority="3">
      <formula>$D53="Done"</formula>
    </cfRule>
    <cfRule type="expression" dxfId="4" priority="4">
      <formula>$D53="In Progress"</formula>
    </cfRule>
    <cfRule type="expression" dxfId="3" priority="5">
      <formula>$D53="In Review"</formula>
    </cfRule>
  </conditionalFormatting>
  <conditionalFormatting sqref="D10:D18">
    <cfRule type="expression" dxfId="2" priority="1">
      <formula>$D10=""</formula>
    </cfRule>
  </conditionalFormatting>
  <conditionalFormatting sqref="E41:E48">
    <cfRule type="cellIs" dxfId="1" priority="2" operator="greaterThan">
      <formula>3</formula>
    </cfRule>
  </conditionalFormatting>
  <conditionalFormatting sqref="I53:I125">
    <cfRule type="expression" dxfId="0" priority="6">
      <formula>$I53=""</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0000000}">
          <x14:formula1>
            <xm:f>Lists!$A$2:$A$9</xm:f>
          </x14:formula1>
          <xm:sqref>D10:D18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49"/>
  <sheetViews>
    <sheetView showGridLines="0" topLeftCell="A13" workbookViewId="0">
      <selection activeCell="D6" sqref="D6"/>
    </sheetView>
  </sheetViews>
  <sheetFormatPr defaultRowHeight="14" x14ac:dyDescent="0.25"/>
  <cols>
    <col min="1" max="1" width="3" customWidth="1"/>
    <col min="2" max="2" width="34" customWidth="1"/>
    <col min="3" max="4" width="14" customWidth="1"/>
    <col min="5" max="5" width="36" customWidth="1"/>
    <col min="6" max="9" width="14" customWidth="1"/>
    <col min="10" max="10" width="70" customWidth="1"/>
  </cols>
  <sheetData>
    <row r="2" spans="2:7" ht="21" x14ac:dyDescent="0.5">
      <c r="B2" s="13" t="s">
        <v>11</v>
      </c>
    </row>
    <row r="3" spans="2:7" ht="14.5" x14ac:dyDescent="0.3">
      <c r="B3" s="14" t="s">
        <v>435</v>
      </c>
    </row>
    <row r="5" spans="2:7" ht="14.5" x14ac:dyDescent="0.3">
      <c r="B5" s="19" t="s">
        <v>436</v>
      </c>
      <c r="C5" s="34">
        <v>46260</v>
      </c>
      <c r="D5" s="22" t="s">
        <v>437</v>
      </c>
    </row>
    <row r="6" spans="2:7" ht="14.5" x14ac:dyDescent="0.3">
      <c r="B6" s="19" t="s">
        <v>438</v>
      </c>
      <c r="C6" s="34">
        <v>46281</v>
      </c>
    </row>
    <row r="8" spans="2:7" ht="15.5" x14ac:dyDescent="0.35">
      <c r="B8" s="15" t="s">
        <v>439</v>
      </c>
      <c r="E8" s="15" t="s">
        <v>440</v>
      </c>
    </row>
    <row r="9" spans="2:7" ht="14.5" x14ac:dyDescent="0.3">
      <c r="B9" s="24" t="s">
        <v>92</v>
      </c>
      <c r="C9" s="25">
        <f>COUNTIFS('Contribution Log'!$A$2:$A$601,"&gt;="&amp;$C$5,'Contribution Log'!$A$2:$A$601,"&lt;="&amp;$C$6)</f>
        <v>3</v>
      </c>
      <c r="E9" s="7" t="s">
        <v>81</v>
      </c>
      <c r="F9" s="7" t="s">
        <v>121</v>
      </c>
      <c r="G9" s="7" t="s">
        <v>441</v>
      </c>
    </row>
    <row r="10" spans="2:7" ht="14.5" x14ac:dyDescent="0.3">
      <c r="B10" s="24" t="s">
        <v>442</v>
      </c>
      <c r="C10" s="25">
        <f>SUMPRODUCT((COUNTIFS('Contribution Log'!$A$2:$A$601,"&gt;="&amp;$C$5,'Contribution Log'!$A$2:$A$601,"&lt;="&amp;$C$6,'Contribution Log'!$C$2:$C$601,Lists!$A$2:$A$9)&gt;0)*1)</f>
        <v>3</v>
      </c>
      <c r="E10" s="24" t="str">
        <f>"A - Trustworthy Foundations"</f>
        <v>A - Trustworthy Foundations</v>
      </c>
      <c r="F10" s="11">
        <f>COUNTIFS('Contribution Log'!$A$2:$A$601,"&gt;="&amp;$C$5,'Contribution Log'!$A$2:$A$601,"&lt;="&amp;$C$6,'Contribution Log'!$L$2:$L$601,Lists!$H$2)</f>
        <v>1</v>
      </c>
      <c r="G10" s="11">
        <f>SUMPRODUCT((COUNTIFS('Contribution Log'!$A$2:$A$601,"&gt;="&amp;$C$5,'Contribution Log'!$A$2:$A$601,"&lt;="&amp;$C$6,'Contribution Log'!$L$2:$L$601,Lists!$H$2,'Contribution Log'!$J$2:$J$601,Lists!$K$3:$K$61,'Contribution Log'!$Q$2:$Q$601,"Yes - story complete")&gt;0)*1)</f>
        <v>1</v>
      </c>
    </row>
    <row r="11" spans="2:7" ht="14.5" x14ac:dyDescent="0.3">
      <c r="B11" s="24" t="s">
        <v>97</v>
      </c>
      <c r="C11" s="25">
        <f>SUMPRODUCT((COUNTIFS('Contribution Log'!$A$2:$A$601,"&gt;="&amp;$C$5,'Contribution Log'!$A$2:$A$601,"&lt;="&amp;$C$6,'Contribution Log'!$J$2:$J$601,Lists!$K$3:$K$61,'Contribution Log'!$Q$2:$Q$601,"Yes - story complete")&gt;0)*1)</f>
        <v>2</v>
      </c>
      <c r="E11" s="24" t="str">
        <f>"B - Setting Up Work"</f>
        <v>B - Setting Up Work</v>
      </c>
      <c r="F11" s="11">
        <f>COUNTIFS('Contribution Log'!$A$2:$A$601,"&gt;="&amp;$C$5,'Contribution Log'!$A$2:$A$601,"&lt;="&amp;$C$6,'Contribution Log'!$L$2:$L$601,Lists!$H$3)</f>
        <v>0</v>
      </c>
      <c r="G11" s="11">
        <f>SUMPRODUCT((COUNTIFS('Contribution Log'!$A$2:$A$601,"&gt;="&amp;$C$5,'Contribution Log'!$A$2:$A$601,"&lt;="&amp;$C$6,'Contribution Log'!$L$2:$L$601,Lists!$H$3,'Contribution Log'!$J$2:$J$601,Lists!$K$3:$K$61,'Contribution Log'!$Q$2:$Q$601,"Yes - story complete")&gt;0)*1)</f>
        <v>0</v>
      </c>
    </row>
    <row r="12" spans="2:7" ht="14.5" x14ac:dyDescent="0.3">
      <c r="B12" s="24" t="s">
        <v>443</v>
      </c>
      <c r="C12" s="25">
        <f>COUNTIFS('Contribution Log'!$A$2:$A$601,"&gt;="&amp;$C$5,'Contribution Log'!$A$2:$A$601,"&lt;="&amp;$C$6,'Contribution Log'!$H$2:$H$601,"Defect fix")</f>
        <v>0</v>
      </c>
      <c r="E12" s="24" t="str">
        <f>"C - AI-Assisted First Pass"</f>
        <v>C - AI-Assisted First Pass</v>
      </c>
      <c r="F12" s="11">
        <f>COUNTIFS('Contribution Log'!$A$2:$A$601,"&gt;="&amp;$C$5,'Contribution Log'!$A$2:$A$601,"&lt;="&amp;$C$6,'Contribution Log'!$L$2:$L$601,Lists!$H$4)</f>
        <v>0</v>
      </c>
      <c r="G12" s="11">
        <f>SUMPRODUCT((COUNTIFS('Contribution Log'!$A$2:$A$601,"&gt;="&amp;$C$5,'Contribution Log'!$A$2:$A$601,"&lt;="&amp;$C$6,'Contribution Log'!$L$2:$L$601,Lists!$H$4,'Contribution Log'!$J$2:$J$601,Lists!$K$3:$K$61,'Contribution Log'!$Q$2:$Q$601,"Yes - story complete")&gt;0)*1)</f>
        <v>0</v>
      </c>
    </row>
    <row r="13" spans="2:7" ht="14.5" x14ac:dyDescent="0.3">
      <c r="B13" s="24" t="s">
        <v>444</v>
      </c>
      <c r="C13" s="25">
        <f>COUNTIFS('Contribution Log'!$A$2:$A$601,"&gt;="&amp;$C$5,'Contribution Log'!$A$2:$A$601,"&lt;="&amp;$C$6,'Contribution Log'!$H$2:$H$601,"Feature")</f>
        <v>1</v>
      </c>
      <c r="E13" s="24" t="str">
        <f>"D - Review &amp; Cross-Validation"</f>
        <v>D - Review &amp; Cross-Validation</v>
      </c>
      <c r="F13" s="11">
        <f>COUNTIFS('Contribution Log'!$A$2:$A$601,"&gt;="&amp;$C$5,'Contribution Log'!$A$2:$A$601,"&lt;="&amp;$C$6,'Contribution Log'!$L$2:$L$601,Lists!$H$5)</f>
        <v>0</v>
      </c>
      <c r="G13" s="11">
        <f>SUMPRODUCT((COUNTIFS('Contribution Log'!$A$2:$A$601,"&gt;="&amp;$C$5,'Contribution Log'!$A$2:$A$601,"&lt;="&amp;$C$6,'Contribution Log'!$L$2:$L$601,Lists!$H$5,'Contribution Log'!$J$2:$J$601,Lists!$K$3:$K$61,'Contribution Log'!$Q$2:$Q$601,"Yes - story complete")&gt;0)*1)</f>
        <v>0</v>
      </c>
    </row>
    <row r="14" spans="2:7" ht="14.5" x14ac:dyDescent="0.3">
      <c r="B14" s="24" t="s">
        <v>445</v>
      </c>
      <c r="C14" s="25">
        <f>COUNTIFS('Contribution Log'!$A$2:$A$601,"&gt;="&amp;$C$5,'Contribution Log'!$A$2:$A$601,"&lt;="&amp;$C$6,'Contribution Log'!$E$2:$E$601,"OK")</f>
        <v>2</v>
      </c>
      <c r="E14" s="24" t="str">
        <f>"E - Disagreement &amp; Dispute"</f>
        <v>E - Disagreement &amp; Dispute</v>
      </c>
      <c r="F14" s="11">
        <f>COUNTIFS('Contribution Log'!$A$2:$A$601,"&gt;="&amp;$C$5,'Contribution Log'!$A$2:$A$601,"&lt;="&amp;$C$6,'Contribution Log'!$L$2:$L$601,Lists!$H$6)</f>
        <v>0</v>
      </c>
      <c r="G14" s="11">
        <f>SUMPRODUCT((COUNTIFS('Contribution Log'!$A$2:$A$601,"&gt;="&amp;$C$5,'Contribution Log'!$A$2:$A$601,"&lt;="&amp;$C$6,'Contribution Log'!$L$2:$L$601,Lists!$H$6,'Contribution Log'!$J$2:$J$601,Lists!$K$3:$K$61,'Contribution Log'!$Q$2:$Q$601,"Yes - story complete")&gt;0)*1)</f>
        <v>0</v>
      </c>
    </row>
    <row r="15" spans="2:7" ht="14.5" x14ac:dyDescent="0.3">
      <c r="E15" s="24" t="str">
        <f>"F - Provenance &amp; History"</f>
        <v>F - Provenance &amp; History</v>
      </c>
      <c r="F15" s="11">
        <f>COUNTIFS('Contribution Log'!$A$2:$A$601,"&gt;="&amp;$C$5,'Contribution Log'!$A$2:$A$601,"&lt;="&amp;$C$6,'Contribution Log'!$L$2:$L$601,Lists!$H$7)</f>
        <v>0</v>
      </c>
      <c r="G15" s="11">
        <f>SUMPRODUCT((COUNTIFS('Contribution Log'!$A$2:$A$601,"&gt;="&amp;$C$5,'Contribution Log'!$A$2:$A$601,"&lt;="&amp;$C$6,'Contribution Log'!$L$2:$L$601,Lists!$H$7,'Contribution Log'!$J$2:$J$601,Lists!$K$3:$K$61,'Contribution Log'!$Q$2:$Q$601,"Yes - story complete")&gt;0)*1)</f>
        <v>0</v>
      </c>
    </row>
    <row r="16" spans="2:7" ht="14.5" x14ac:dyDescent="0.3">
      <c r="E16" s="24" t="str">
        <f>"G - Roles, Permissions &amp; Organisations"</f>
        <v>G - Roles, Permissions &amp; Organisations</v>
      </c>
      <c r="F16" s="11">
        <f>COUNTIFS('Contribution Log'!$A$2:$A$601,"&gt;="&amp;$C$5,'Contribution Log'!$A$2:$A$601,"&lt;="&amp;$C$6,'Contribution Log'!$L$2:$L$601,Lists!$H$8)</f>
        <v>1</v>
      </c>
      <c r="G16" s="11">
        <f>SUMPRODUCT((COUNTIFS('Contribution Log'!$A$2:$A$601,"&gt;="&amp;$C$5,'Contribution Log'!$A$2:$A$601,"&lt;="&amp;$C$6,'Contribution Log'!$L$2:$L$601,Lists!$H$8,'Contribution Log'!$J$2:$J$601,Lists!$K$3:$K$61,'Contribution Log'!$Q$2:$Q$601,"Yes - story complete")&gt;0)*1)</f>
        <v>1</v>
      </c>
    </row>
    <row r="17" spans="2:10" ht="14.5" x14ac:dyDescent="0.3">
      <c r="E17" s="24" t="str">
        <f>"H - Release &amp; Export"</f>
        <v>H - Release &amp; Export</v>
      </c>
      <c r="F17" s="11">
        <f>COUNTIFS('Contribution Log'!$A$2:$A$601,"&gt;="&amp;$C$5,'Contribution Log'!$A$2:$A$601,"&lt;="&amp;$C$6,'Contribution Log'!$L$2:$L$601,Lists!$H$9)</f>
        <v>0</v>
      </c>
      <c r="G17" s="11">
        <f>SUMPRODUCT((COUNTIFS('Contribution Log'!$A$2:$A$601,"&gt;="&amp;$C$5,'Contribution Log'!$A$2:$A$601,"&lt;="&amp;$C$6,'Contribution Log'!$L$2:$L$601,Lists!$H$9,'Contribution Log'!$J$2:$J$601,Lists!$K$3:$K$61,'Contribution Log'!$Q$2:$Q$601,"Yes - story complete")&gt;0)*1)</f>
        <v>0</v>
      </c>
    </row>
    <row r="18" spans="2:10" ht="15.5" x14ac:dyDescent="0.35">
      <c r="B18" s="15" t="s">
        <v>446</v>
      </c>
      <c r="E18" s="24" t="str">
        <f>"I - Evaluation"</f>
        <v>I - Evaluation</v>
      </c>
      <c r="F18" s="11">
        <f>COUNTIFS('Contribution Log'!$A$2:$A$601,"&gt;="&amp;$C$5,'Contribution Log'!$A$2:$A$601,"&lt;="&amp;$C$6,'Contribution Log'!$L$2:$L$601,Lists!$H$10)</f>
        <v>0</v>
      </c>
      <c r="G18" s="11">
        <f>SUMPRODUCT((COUNTIFS('Contribution Log'!$A$2:$A$601,"&gt;="&amp;$C$5,'Contribution Log'!$A$2:$A$601,"&lt;="&amp;$C$6,'Contribution Log'!$L$2:$L$601,Lists!$H$10,'Contribution Log'!$J$2:$J$601,Lists!$K$3:$K$61,'Contribution Log'!$Q$2:$Q$601,"Yes - story complete")&gt;0)*1)</f>
        <v>0</v>
      </c>
    </row>
    <row r="19" spans="2:10" ht="32" customHeight="1" x14ac:dyDescent="0.25">
      <c r="B19" s="7" t="s">
        <v>34</v>
      </c>
      <c r="C19" s="7" t="s">
        <v>121</v>
      </c>
      <c r="D19" s="7" t="s">
        <v>447</v>
      </c>
      <c r="E19" s="7" t="s">
        <v>97</v>
      </c>
      <c r="F19" s="7" t="s">
        <v>448</v>
      </c>
      <c r="G19" s="7" t="s">
        <v>449</v>
      </c>
    </row>
    <row r="20" spans="2:10" ht="14.5" x14ac:dyDescent="0.3">
      <c r="B20" s="19" t="str">
        <f>Lists!$A$2</f>
        <v>Michael Max</v>
      </c>
      <c r="C20" s="11">
        <f>COUNTIFS('Contribution Log'!$A$2:$A$601,"&gt;="&amp;$C$5,'Contribution Log'!$A$2:$A$601,"&lt;="&amp;$C$6,'Contribution Log'!$C$2:$C$601,Lists!$A$2)</f>
        <v>0</v>
      </c>
      <c r="D20" s="11">
        <f>COUNTIFS('Contribution Log'!$A$2:$A$601,"&gt;="&amp;$C$5,'Contribution Log'!$A$2:$A$601,"&lt;="&amp;$C$6,'Contribution Log'!$D$2:$D$601,Lists!$A$2)</f>
        <v>0</v>
      </c>
      <c r="E20" s="11">
        <f>SUMPRODUCT((COUNTIFS('Contribution Log'!$A$2:$A$601,"&gt;="&amp;$C$5,'Contribution Log'!$A$2:$A$601,"&lt;="&amp;$C$6,'Contribution Log'!$C$2:$C$601,Lists!$A$2,'Contribution Log'!$J$2:$J$601,Lists!$K$3:$K$61,'Contribution Log'!$Q$2:$Q$601,"Yes - story complete")&gt;0)*1)</f>
        <v>0</v>
      </c>
      <c r="F20" s="27">
        <f>COUNTIFS('Contribution Log'!$A$2:$A$601,"&gt;="&amp;$C$5,'Contribution Log'!$A$2:$A$601,"&lt;="&amp;$C$6,'Contribution Log'!$L$2:$L$601,Lists!$H$12)</f>
        <v>0</v>
      </c>
      <c r="G20" s="58">
        <f>SUMPRODUCT((COUNTIFS('Contribution Log'!$A$2:$A$601,"&gt;="&amp;$C$5,'Contribution Log'!$A$2:$A$601,"&lt;="&amp;$C$6,'Contribution Log'!$L$2:$L$601,Lists!$H$12,'Contribution Log'!$J$2:$J$601,Lists!$K$3:$K$61,'Contribution Log'!$Q$2:$Q$601,"Yes - story complete")&gt;0)*1)</f>
        <v>0</v>
      </c>
      <c r="H20" s="59"/>
      <c r="I20" s="59"/>
      <c r="J20" s="59"/>
    </row>
    <row r="21" spans="2:10" ht="14.5" x14ac:dyDescent="0.3">
      <c r="B21" s="19" t="str">
        <f>Lists!$A$3</f>
        <v>Parth</v>
      </c>
      <c r="C21" s="11">
        <f>COUNTIFS('Contribution Log'!$A$2:$A$601,"&gt;="&amp;$C$5,'Contribution Log'!$A$2:$A$601,"&lt;="&amp;$C$6,'Contribution Log'!$C$2:$C$601,Lists!$A$3)</f>
        <v>0</v>
      </c>
      <c r="D21" s="11">
        <f>COUNTIFS('Contribution Log'!$A$2:$A$601,"&gt;="&amp;$C$5,'Contribution Log'!$A$2:$A$601,"&lt;="&amp;$C$6,'Contribution Log'!$D$2:$D$601,Lists!$A$3)</f>
        <v>0</v>
      </c>
      <c r="E21" s="11">
        <f>SUMPRODUCT((COUNTIFS('Contribution Log'!$A$2:$A$601,"&gt;="&amp;$C$5,'Contribution Log'!$A$2:$A$601,"&lt;="&amp;$C$6,'Contribution Log'!$C$2:$C$601,Lists!$A$3,'Contribution Log'!$J$2:$J$601,Lists!$K$3:$K$61,'Contribution Log'!$Q$2:$Q$601,"Yes - story complete")&gt;0)*1)</f>
        <v>0</v>
      </c>
      <c r="F21" s="27"/>
      <c r="G21" s="58"/>
      <c r="H21" s="59"/>
      <c r="I21" s="59"/>
      <c r="J21" s="59"/>
    </row>
    <row r="22" spans="2:10" ht="14.5" x14ac:dyDescent="0.3">
      <c r="B22" s="19" t="str">
        <f>Lists!$A$4</f>
        <v>Jingwei Lin</v>
      </c>
      <c r="C22" s="11">
        <f>COUNTIFS('Contribution Log'!$A$2:$A$601,"&gt;="&amp;$C$5,'Contribution Log'!$A$2:$A$601,"&lt;="&amp;$C$6,'Contribution Log'!$C$2:$C$601,Lists!$A$4)</f>
        <v>1</v>
      </c>
      <c r="D22" s="11">
        <f>COUNTIFS('Contribution Log'!$A$2:$A$601,"&gt;="&amp;$C$5,'Contribution Log'!$A$2:$A$601,"&lt;="&amp;$C$6,'Contribution Log'!$D$2:$D$601,Lists!$A$4)</f>
        <v>1</v>
      </c>
      <c r="E22" s="11">
        <f>SUMPRODUCT((COUNTIFS('Contribution Log'!$A$2:$A$601,"&gt;="&amp;$C$5,'Contribution Log'!$A$2:$A$601,"&lt;="&amp;$C$6,'Contribution Log'!$C$2:$C$601,Lists!$A$4,'Contribution Log'!$J$2:$J$601,Lists!$K$3:$K$61,'Contribution Log'!$Q$2:$Q$601,"Yes - story complete")&gt;0)*1)</f>
        <v>1</v>
      </c>
      <c r="F22" s="27"/>
      <c r="G22" s="58"/>
      <c r="H22" s="59"/>
      <c r="I22" s="59"/>
      <c r="J22" s="59"/>
    </row>
    <row r="23" spans="2:10" ht="14.5" x14ac:dyDescent="0.3">
      <c r="B23" s="19" t="str">
        <f>Lists!$A$5</f>
        <v>Hanchen Wang</v>
      </c>
      <c r="C23" s="11">
        <f>COUNTIFS('Contribution Log'!$A$2:$A$601,"&gt;="&amp;$C$5,'Contribution Log'!$A$2:$A$601,"&lt;="&amp;$C$6,'Contribution Log'!$C$2:$C$601,Lists!$A$5)</f>
        <v>1</v>
      </c>
      <c r="D23" s="11">
        <f>COUNTIFS('Contribution Log'!$A$2:$A$601,"&gt;="&amp;$C$5,'Contribution Log'!$A$2:$A$601,"&lt;="&amp;$C$6,'Contribution Log'!$D$2:$D$601,Lists!$A$5)</f>
        <v>1</v>
      </c>
      <c r="E23" s="11">
        <f>SUMPRODUCT((COUNTIFS('Contribution Log'!$A$2:$A$601,"&gt;="&amp;$C$5,'Contribution Log'!$A$2:$A$601,"&lt;="&amp;$C$6,'Contribution Log'!$C$2:$C$601,Lists!$A$5,'Contribution Log'!$J$2:$J$601,Lists!$K$3:$K$61,'Contribution Log'!$Q$2:$Q$601,"Yes - story complete")&gt;0)*1)</f>
        <v>1</v>
      </c>
      <c r="F23" s="27"/>
      <c r="G23" s="58"/>
      <c r="H23" s="59"/>
      <c r="I23" s="59"/>
      <c r="J23" s="59"/>
    </row>
    <row r="24" spans="2:10" ht="14.5" x14ac:dyDescent="0.3">
      <c r="B24" s="19" t="str">
        <f>Lists!$A$6</f>
        <v>Yi Geng</v>
      </c>
      <c r="C24" s="11">
        <f>COUNTIFS('Contribution Log'!$A$2:$A$601,"&gt;="&amp;$C$5,'Contribution Log'!$A$2:$A$601,"&lt;="&amp;$C$6,'Contribution Log'!$C$2:$C$601,Lists!$A$6)</f>
        <v>1</v>
      </c>
      <c r="D24" s="11">
        <f>COUNTIFS('Contribution Log'!$A$2:$A$601,"&gt;="&amp;$C$5,'Contribution Log'!$A$2:$A$601,"&lt;="&amp;$C$6,'Contribution Log'!$D$2:$D$601,Lists!$A$6)</f>
        <v>1</v>
      </c>
      <c r="E24" s="11">
        <f>SUMPRODUCT((COUNTIFS('Contribution Log'!$A$2:$A$601,"&gt;="&amp;$C$5,'Contribution Log'!$A$2:$A$601,"&lt;="&amp;$C$6,'Contribution Log'!$C$2:$C$601,Lists!$A$6,'Contribution Log'!$J$2:$J$601,Lists!$K$3:$K$61,'Contribution Log'!$Q$2:$Q$601,"Yes - story complete")&gt;0)*1)</f>
        <v>0</v>
      </c>
      <c r="F24" s="27"/>
      <c r="G24" s="58"/>
      <c r="H24" s="59"/>
      <c r="I24" s="59"/>
      <c r="J24" s="59"/>
    </row>
    <row r="25" spans="2:10" ht="14.5" x14ac:dyDescent="0.3">
      <c r="B25" s="19" t="str">
        <f>Lists!$A$7</f>
        <v>Dishank Aswal</v>
      </c>
      <c r="C25" s="11">
        <f>COUNTIFS('Contribution Log'!$A$2:$A$601,"&gt;="&amp;$C$5,'Contribution Log'!$A$2:$A$601,"&lt;="&amp;$C$6,'Contribution Log'!$C$2:$C$601,Lists!$A$7)</f>
        <v>0</v>
      </c>
      <c r="D25" s="11">
        <f>COUNTIFS('Contribution Log'!$A$2:$A$601,"&gt;="&amp;$C$5,'Contribution Log'!$A$2:$A$601,"&lt;="&amp;$C$6,'Contribution Log'!$D$2:$D$601,Lists!$A$7)</f>
        <v>0</v>
      </c>
      <c r="E25" s="11">
        <f>SUMPRODUCT((COUNTIFS('Contribution Log'!$A$2:$A$601,"&gt;="&amp;$C$5,'Contribution Log'!$A$2:$A$601,"&lt;="&amp;$C$6,'Contribution Log'!$C$2:$C$601,Lists!$A$7,'Contribution Log'!$J$2:$J$601,Lists!$K$3:$K$61,'Contribution Log'!$Q$2:$Q$601,"Yes - story complete")&gt;0)*1)</f>
        <v>0</v>
      </c>
      <c r="F25" s="27"/>
      <c r="G25" s="58"/>
      <c r="H25" s="59"/>
      <c r="I25" s="59"/>
      <c r="J25" s="59"/>
    </row>
    <row r="26" spans="2:10" ht="14.5" x14ac:dyDescent="0.3">
      <c r="B26" s="19" t="str">
        <f>Lists!$A$8</f>
        <v>Kanishka Kathait</v>
      </c>
      <c r="C26" s="11">
        <f>COUNTIFS('Contribution Log'!$A$2:$A$601,"&gt;="&amp;$C$5,'Contribution Log'!$A$2:$A$601,"&lt;="&amp;$C$6,'Contribution Log'!$C$2:$C$601,Lists!$A$8)</f>
        <v>0</v>
      </c>
      <c r="D26" s="11">
        <f>COUNTIFS('Contribution Log'!$A$2:$A$601,"&gt;="&amp;$C$5,'Contribution Log'!$A$2:$A$601,"&lt;="&amp;$C$6,'Contribution Log'!$D$2:$D$601,Lists!$A$8)</f>
        <v>0</v>
      </c>
      <c r="E26" s="11">
        <f>SUMPRODUCT((COUNTIFS('Contribution Log'!$A$2:$A$601,"&gt;="&amp;$C$5,'Contribution Log'!$A$2:$A$601,"&lt;="&amp;$C$6,'Contribution Log'!$C$2:$C$601,Lists!$A$8,'Contribution Log'!$J$2:$J$601,Lists!$K$3:$K$61,'Contribution Log'!$Q$2:$Q$601,"Yes - story complete")&gt;0)*1)</f>
        <v>0</v>
      </c>
      <c r="F26" s="27"/>
      <c r="G26" s="58"/>
      <c r="H26" s="59"/>
      <c r="I26" s="59"/>
      <c r="J26" s="59"/>
    </row>
    <row r="27" spans="2:10" ht="14.5" x14ac:dyDescent="0.3">
      <c r="B27" s="19" t="str">
        <f>Lists!$A$9</f>
        <v>Tok Tin Chung</v>
      </c>
      <c r="C27" s="11">
        <f>COUNTIFS('Contribution Log'!$A$2:$A$601,"&gt;="&amp;$C$5,'Contribution Log'!$A$2:$A$601,"&lt;="&amp;$C$6,'Contribution Log'!$C$2:$C$601,Lists!$A$9)</f>
        <v>0</v>
      </c>
      <c r="D27" s="11">
        <f>COUNTIFS('Contribution Log'!$A$2:$A$601,"&gt;="&amp;$C$5,'Contribution Log'!$A$2:$A$601,"&lt;="&amp;$C$6,'Contribution Log'!$D$2:$D$601,Lists!$A$9)</f>
        <v>0</v>
      </c>
      <c r="E27" s="11">
        <f>SUMPRODUCT((COUNTIFS('Contribution Log'!$A$2:$A$601,"&gt;="&amp;$C$5,'Contribution Log'!$A$2:$A$601,"&lt;="&amp;$C$6,'Contribution Log'!$C$2:$C$601,Lists!$A$9,'Contribution Log'!$J$2:$J$601,Lists!$K$3:$K$61,'Contribution Log'!$Q$2:$Q$601,"Yes - story complete")&gt;0)*1)</f>
        <v>0</v>
      </c>
      <c r="F27" s="27"/>
      <c r="G27" s="58"/>
      <c r="H27" s="59"/>
      <c r="I27" s="59"/>
      <c r="J27" s="59"/>
    </row>
    <row r="30" spans="2:10" ht="15.5" x14ac:dyDescent="0.35">
      <c r="B30" s="15" t="s">
        <v>450</v>
      </c>
      <c r="E30" s="22" t="s">
        <v>451</v>
      </c>
    </row>
    <row r="31" spans="2:10" x14ac:dyDescent="0.25">
      <c r="B31" s="60" t="s">
        <v>452</v>
      </c>
      <c r="C31" s="58"/>
      <c r="D31" s="58"/>
      <c r="E31" s="58"/>
      <c r="F31" s="58"/>
      <c r="G31" s="58"/>
      <c r="H31" s="58"/>
      <c r="I31" s="58"/>
      <c r="J31" s="58"/>
    </row>
    <row r="32" spans="2:10" x14ac:dyDescent="0.25">
      <c r="B32" s="61"/>
      <c r="C32" s="58"/>
      <c r="D32" s="58"/>
      <c r="E32" s="58"/>
      <c r="F32" s="58"/>
      <c r="G32" s="58"/>
      <c r="H32" s="58"/>
      <c r="I32" s="58"/>
      <c r="J32" s="58"/>
    </row>
    <row r="33" spans="2:10" x14ac:dyDescent="0.25">
      <c r="B33" s="61"/>
      <c r="C33" s="58"/>
      <c r="D33" s="58"/>
      <c r="E33" s="58"/>
      <c r="F33" s="58"/>
      <c r="G33" s="58"/>
      <c r="H33" s="58"/>
      <c r="I33" s="58"/>
      <c r="J33" s="58"/>
    </row>
    <row r="34" spans="2:10" x14ac:dyDescent="0.25">
      <c r="B34" s="61"/>
      <c r="C34" s="58"/>
      <c r="D34" s="58"/>
      <c r="E34" s="58"/>
      <c r="F34" s="58"/>
      <c r="G34" s="58"/>
      <c r="H34" s="58"/>
      <c r="I34" s="58"/>
      <c r="J34" s="58"/>
    </row>
    <row r="35" spans="2:10" x14ac:dyDescent="0.25">
      <c r="B35" s="62"/>
      <c r="C35" s="58"/>
      <c r="D35" s="58"/>
      <c r="E35" s="58"/>
      <c r="F35" s="58"/>
      <c r="G35" s="58"/>
      <c r="H35" s="58"/>
      <c r="I35" s="58"/>
      <c r="J35" s="58"/>
    </row>
    <row r="37" spans="2:10" x14ac:dyDescent="0.25">
      <c r="B37" s="60" t="s">
        <v>453</v>
      </c>
      <c r="C37" s="58"/>
      <c r="D37" s="58"/>
      <c r="E37" s="58"/>
      <c r="F37" s="58"/>
      <c r="G37" s="58"/>
      <c r="H37" s="58"/>
      <c r="I37" s="58"/>
      <c r="J37" s="58"/>
    </row>
    <row r="38" spans="2:10" x14ac:dyDescent="0.25">
      <c r="B38" s="61"/>
      <c r="C38" s="58"/>
      <c r="D38" s="58"/>
      <c r="E38" s="58"/>
      <c r="F38" s="58"/>
      <c r="G38" s="58"/>
      <c r="H38" s="58"/>
      <c r="I38" s="58"/>
      <c r="J38" s="58"/>
    </row>
    <row r="39" spans="2:10" x14ac:dyDescent="0.25">
      <c r="B39" s="61"/>
      <c r="C39" s="58"/>
      <c r="D39" s="58"/>
      <c r="E39" s="58"/>
      <c r="F39" s="58"/>
      <c r="G39" s="58"/>
      <c r="H39" s="58"/>
      <c r="I39" s="58"/>
      <c r="J39" s="58"/>
    </row>
    <row r="40" spans="2:10" x14ac:dyDescent="0.25">
      <c r="B40" s="62"/>
      <c r="C40" s="58"/>
      <c r="D40" s="58"/>
      <c r="E40" s="58"/>
      <c r="F40" s="58"/>
      <c r="G40" s="58"/>
      <c r="H40" s="58"/>
      <c r="I40" s="58"/>
      <c r="J40" s="58"/>
    </row>
    <row r="42" spans="2:10" x14ac:dyDescent="0.25">
      <c r="B42" s="60" t="s">
        <v>454</v>
      </c>
      <c r="C42" s="58"/>
      <c r="D42" s="58"/>
      <c r="E42" s="58"/>
      <c r="F42" s="58"/>
      <c r="G42" s="58"/>
      <c r="H42" s="58"/>
      <c r="I42" s="58"/>
      <c r="J42" s="58"/>
    </row>
    <row r="43" spans="2:10" x14ac:dyDescent="0.25">
      <c r="B43" s="61"/>
      <c r="C43" s="58"/>
      <c r="D43" s="58"/>
      <c r="E43" s="58"/>
      <c r="F43" s="58"/>
      <c r="G43" s="58"/>
      <c r="H43" s="58"/>
      <c r="I43" s="58"/>
      <c r="J43" s="58"/>
    </row>
    <row r="44" spans="2:10" x14ac:dyDescent="0.25">
      <c r="B44" s="61"/>
      <c r="C44" s="58"/>
      <c r="D44" s="58"/>
      <c r="E44" s="58"/>
      <c r="F44" s="58"/>
      <c r="G44" s="58"/>
      <c r="H44" s="58"/>
      <c r="I44" s="58"/>
      <c r="J44" s="58"/>
    </row>
    <row r="45" spans="2:10" x14ac:dyDescent="0.25">
      <c r="B45" s="62"/>
      <c r="C45" s="58"/>
      <c r="D45" s="58"/>
      <c r="E45" s="58"/>
      <c r="F45" s="58"/>
      <c r="G45" s="58"/>
      <c r="H45" s="58"/>
      <c r="I45" s="58"/>
      <c r="J45" s="58"/>
    </row>
    <row r="47" spans="2:10" x14ac:dyDescent="0.25">
      <c r="B47" s="60" t="s">
        <v>455</v>
      </c>
      <c r="C47" s="58"/>
      <c r="D47" s="58"/>
      <c r="E47" s="58"/>
      <c r="F47" s="58"/>
      <c r="G47" s="58"/>
      <c r="H47" s="58"/>
      <c r="I47" s="58"/>
      <c r="J47" s="58"/>
    </row>
    <row r="48" spans="2:10" x14ac:dyDescent="0.25">
      <c r="B48" s="61"/>
      <c r="C48" s="58"/>
      <c r="D48" s="58"/>
      <c r="E48" s="58"/>
      <c r="F48" s="58"/>
      <c r="G48" s="58"/>
      <c r="H48" s="58"/>
      <c r="I48" s="58"/>
      <c r="J48" s="58"/>
    </row>
    <row r="49" spans="2:10" x14ac:dyDescent="0.25">
      <c r="B49" s="62"/>
      <c r="C49" s="58"/>
      <c r="D49" s="58"/>
      <c r="E49" s="58"/>
      <c r="F49" s="58"/>
      <c r="G49" s="58"/>
      <c r="H49" s="58"/>
      <c r="I49" s="58"/>
      <c r="J49" s="58"/>
    </row>
  </sheetData>
  <mergeCells count="16">
    <mergeCell ref="B47:B49"/>
    <mergeCell ref="G25:J25"/>
    <mergeCell ref="B31:B35"/>
    <mergeCell ref="G27:J27"/>
    <mergeCell ref="B42:B45"/>
    <mergeCell ref="G20:J20"/>
    <mergeCell ref="C37:J40"/>
    <mergeCell ref="G21:J21"/>
    <mergeCell ref="G24:J24"/>
    <mergeCell ref="B37:B40"/>
    <mergeCell ref="C31:J35"/>
    <mergeCell ref="G22:J22"/>
    <mergeCell ref="C47:J49"/>
    <mergeCell ref="G23:J23"/>
    <mergeCell ref="G26:J26"/>
    <mergeCell ref="C42:J45"/>
  </mergeCells>
  <phoneticPr fontId="1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74"/>
  <sheetViews>
    <sheetView showGridLines="0" topLeftCell="I1" workbookViewId="0"/>
  </sheetViews>
  <sheetFormatPr defaultRowHeight="14" x14ac:dyDescent="0.25"/>
  <cols>
    <col min="1" max="1" width="20" customWidth="1"/>
    <col min="2" max="2" width="24" customWidth="1"/>
    <col min="3" max="3" width="3" customWidth="1"/>
    <col min="4" max="4" width="22" customWidth="1"/>
    <col min="5" max="5" width="30" customWidth="1"/>
    <col min="6" max="6" width="24" customWidth="1"/>
    <col min="7" max="7" width="3" customWidth="1"/>
    <col min="8" max="8" width="8" customWidth="1"/>
    <col min="10" max="10" width="3" customWidth="1"/>
    <col min="11" max="11" width="10" customWidth="1"/>
    <col min="12" max="12" width="7" customWidth="1"/>
    <col min="13" max="13" width="9" customWidth="1"/>
    <col min="14" max="14" width="8" customWidth="1"/>
    <col min="15" max="15" width="58" customWidth="1"/>
    <col min="16" max="16" width="26" customWidth="1"/>
    <col min="19" max="19" width="3" customWidth="1"/>
    <col min="20" max="20" width="8" customWidth="1"/>
    <col min="21" max="22" width="17" customWidth="1"/>
    <col min="24" max="25" width="26" customWidth="1"/>
    <col min="26" max="26" width="14" customWidth="1"/>
  </cols>
  <sheetData>
    <row r="1" spans="1:26" ht="14.5" x14ac:dyDescent="0.3">
      <c r="A1" s="35" t="s">
        <v>456</v>
      </c>
      <c r="B1" s="35" t="s">
        <v>457</v>
      </c>
      <c r="D1" s="35" t="s">
        <v>36</v>
      </c>
      <c r="E1" s="35" t="s">
        <v>79</v>
      </c>
      <c r="F1" s="35" t="s">
        <v>39</v>
      </c>
      <c r="H1" s="35" t="s">
        <v>81</v>
      </c>
      <c r="K1" s="35" t="s">
        <v>37</v>
      </c>
      <c r="L1" s="35" t="s">
        <v>81</v>
      </c>
      <c r="M1" s="35" t="s">
        <v>177</v>
      </c>
      <c r="N1" s="35" t="s">
        <v>458</v>
      </c>
      <c r="O1" s="35" t="s">
        <v>80</v>
      </c>
      <c r="P1" s="35" t="s">
        <v>459</v>
      </c>
      <c r="T1" s="35" t="s">
        <v>75</v>
      </c>
      <c r="U1" s="35" t="s">
        <v>460</v>
      </c>
      <c r="V1" s="35" t="s">
        <v>461</v>
      </c>
      <c r="X1" s="35" t="s">
        <v>137</v>
      </c>
      <c r="Y1" s="35" t="s">
        <v>462</v>
      </c>
      <c r="Z1" s="35" t="s">
        <v>83</v>
      </c>
    </row>
    <row r="2" spans="1:26" ht="15" x14ac:dyDescent="0.35">
      <c r="A2" s="36" t="s">
        <v>42</v>
      </c>
      <c r="B2" s="37">
        <v>46237</v>
      </c>
      <c r="D2" s="36" t="s">
        <v>43</v>
      </c>
      <c r="E2" s="36" t="s">
        <v>463</v>
      </c>
      <c r="F2" s="36" t="s">
        <v>53</v>
      </c>
      <c r="H2" s="36" t="s">
        <v>464</v>
      </c>
      <c r="K2" t="s">
        <v>171</v>
      </c>
      <c r="O2" t="s">
        <v>465</v>
      </c>
      <c r="T2" s="38" t="s">
        <v>106</v>
      </c>
      <c r="U2" s="39">
        <f>$B$2+0</f>
        <v>46237</v>
      </c>
      <c r="V2" s="39">
        <f>$B$2+6</f>
        <v>46243</v>
      </c>
      <c r="Z2" s="36" t="s">
        <v>223</v>
      </c>
    </row>
    <row r="3" spans="1:26" ht="14.5" x14ac:dyDescent="0.3">
      <c r="A3" s="36" t="s">
        <v>55</v>
      </c>
      <c r="B3" s="22" t="s">
        <v>466</v>
      </c>
      <c r="D3" s="36" t="s">
        <v>50</v>
      </c>
      <c r="E3" s="36" t="s">
        <v>467</v>
      </c>
      <c r="F3" s="36" t="s">
        <v>46</v>
      </c>
      <c r="H3" s="36" t="s">
        <v>468</v>
      </c>
      <c r="K3" s="36" t="s">
        <v>469</v>
      </c>
      <c r="L3" s="36" t="s">
        <v>464</v>
      </c>
      <c r="M3" s="36" t="s">
        <v>470</v>
      </c>
      <c r="N3" s="36" t="s">
        <v>471</v>
      </c>
      <c r="O3" s="36" t="s">
        <v>472</v>
      </c>
      <c r="P3" s="36"/>
      <c r="T3" s="38" t="s">
        <v>107</v>
      </c>
      <c r="U3" s="39">
        <f>$B$2+7</f>
        <v>46244</v>
      </c>
      <c r="V3" s="39">
        <f>$B$2+13</f>
        <v>46250</v>
      </c>
      <c r="X3" s="36" t="s">
        <v>172</v>
      </c>
      <c r="Y3" s="36" t="s">
        <v>199</v>
      </c>
      <c r="Z3" s="36" t="s">
        <v>229</v>
      </c>
    </row>
    <row r="4" spans="1:26" ht="14.5" x14ac:dyDescent="0.3">
      <c r="A4" s="36" t="s">
        <v>254</v>
      </c>
      <c r="B4" s="22" t="s">
        <v>473</v>
      </c>
      <c r="D4" s="36" t="s">
        <v>474</v>
      </c>
      <c r="E4" s="36" t="s">
        <v>475</v>
      </c>
      <c r="F4" s="36" t="s">
        <v>60</v>
      </c>
      <c r="H4" s="36" t="s">
        <v>476</v>
      </c>
      <c r="K4" s="36" t="s">
        <v>410</v>
      </c>
      <c r="L4" s="36" t="s">
        <v>464</v>
      </c>
      <c r="M4" s="36" t="s">
        <v>470</v>
      </c>
      <c r="N4" s="36" t="s">
        <v>477</v>
      </c>
      <c r="O4" s="36" t="s">
        <v>478</v>
      </c>
      <c r="P4" s="36" t="s">
        <v>408</v>
      </c>
      <c r="T4" s="38" t="s">
        <v>108</v>
      </c>
      <c r="U4" s="39">
        <f>$B$2+14</f>
        <v>46251</v>
      </c>
      <c r="V4" s="39">
        <f>$B$2+20</f>
        <v>46257</v>
      </c>
      <c r="X4" s="36" t="s">
        <v>172</v>
      </c>
      <c r="Y4" s="36" t="s">
        <v>143</v>
      </c>
      <c r="Z4" s="36" t="s">
        <v>231</v>
      </c>
    </row>
    <row r="5" spans="1:26" ht="14.5" x14ac:dyDescent="0.3">
      <c r="A5" s="36" t="s">
        <v>41</v>
      </c>
      <c r="B5" s="22" t="s">
        <v>479</v>
      </c>
      <c r="D5" s="36" t="s">
        <v>480</v>
      </c>
      <c r="E5" s="36" t="s">
        <v>481</v>
      </c>
      <c r="H5" s="36" t="s">
        <v>482</v>
      </c>
      <c r="K5" s="36" t="s">
        <v>407</v>
      </c>
      <c r="L5" s="36" t="s">
        <v>464</v>
      </c>
      <c r="M5" s="36" t="s">
        <v>470</v>
      </c>
      <c r="N5" s="36" t="s">
        <v>477</v>
      </c>
      <c r="O5" s="36" t="s">
        <v>483</v>
      </c>
      <c r="P5" s="36" t="s">
        <v>404</v>
      </c>
      <c r="T5" s="38" t="s">
        <v>109</v>
      </c>
      <c r="U5" s="39">
        <f>$B$2+21</f>
        <v>46258</v>
      </c>
      <c r="V5" s="39">
        <f>$B$2+27</f>
        <v>46264</v>
      </c>
      <c r="X5" s="36" t="s">
        <v>172</v>
      </c>
      <c r="Y5" s="36" t="s">
        <v>484</v>
      </c>
      <c r="Z5" s="36" t="s">
        <v>233</v>
      </c>
    </row>
    <row r="6" spans="1:26" ht="14.5" x14ac:dyDescent="0.3">
      <c r="A6" s="36" t="s">
        <v>48</v>
      </c>
      <c r="B6" s="22" t="s">
        <v>485</v>
      </c>
      <c r="D6" s="36" t="s">
        <v>486</v>
      </c>
      <c r="E6" s="36" t="s">
        <v>487</v>
      </c>
      <c r="H6" s="36" t="s">
        <v>488</v>
      </c>
      <c r="K6" s="36" t="s">
        <v>413</v>
      </c>
      <c r="L6" s="36" t="s">
        <v>464</v>
      </c>
      <c r="M6" s="36" t="s">
        <v>470</v>
      </c>
      <c r="N6" s="36" t="s">
        <v>477</v>
      </c>
      <c r="O6" s="36" t="s">
        <v>489</v>
      </c>
      <c r="P6" s="36" t="s">
        <v>411</v>
      </c>
      <c r="T6" s="38" t="s">
        <v>110</v>
      </c>
      <c r="U6" s="39">
        <f>$B$2+28</f>
        <v>46265</v>
      </c>
      <c r="V6" s="39">
        <f>$B$2+34</f>
        <v>46271</v>
      </c>
      <c r="X6" s="36" t="s">
        <v>172</v>
      </c>
      <c r="Y6" s="36" t="s">
        <v>484</v>
      </c>
      <c r="Z6" s="36" t="s">
        <v>236</v>
      </c>
    </row>
    <row r="7" spans="1:26" ht="14.5" x14ac:dyDescent="0.3">
      <c r="A7" s="36" t="s">
        <v>49</v>
      </c>
      <c r="D7" s="36" t="s">
        <v>490</v>
      </c>
      <c r="E7" s="36" t="s">
        <v>491</v>
      </c>
      <c r="H7" s="36" t="s">
        <v>492</v>
      </c>
      <c r="K7" s="36" t="s">
        <v>493</v>
      </c>
      <c r="L7" s="36" t="s">
        <v>464</v>
      </c>
      <c r="M7" s="36" t="s">
        <v>470</v>
      </c>
      <c r="N7" s="36" t="s">
        <v>477</v>
      </c>
      <c r="O7" s="36" t="s">
        <v>494</v>
      </c>
      <c r="P7" s="36"/>
      <c r="T7" s="38" t="s">
        <v>111</v>
      </c>
      <c r="U7" s="39">
        <f>$B$2+35</f>
        <v>46272</v>
      </c>
      <c r="V7" s="39">
        <f>$B$2+41</f>
        <v>46278</v>
      </c>
      <c r="X7" s="36" t="s">
        <v>172</v>
      </c>
      <c r="Y7" s="36" t="s">
        <v>199</v>
      </c>
      <c r="Z7" s="36" t="s">
        <v>238</v>
      </c>
    </row>
    <row r="8" spans="1:26" ht="14.5" x14ac:dyDescent="0.3">
      <c r="A8" s="36" t="s">
        <v>261</v>
      </c>
      <c r="D8" s="36" t="s">
        <v>495</v>
      </c>
      <c r="E8" s="36" t="s">
        <v>496</v>
      </c>
      <c r="H8" s="36" t="s">
        <v>497</v>
      </c>
      <c r="K8" s="36" t="s">
        <v>434</v>
      </c>
      <c r="L8" s="36" t="s">
        <v>468</v>
      </c>
      <c r="M8" s="36" t="s">
        <v>470</v>
      </c>
      <c r="N8" s="36" t="s">
        <v>498</v>
      </c>
      <c r="O8" s="36" t="s">
        <v>499</v>
      </c>
      <c r="P8" s="36" t="s">
        <v>432</v>
      </c>
      <c r="T8" s="38" t="s">
        <v>112</v>
      </c>
      <c r="U8" s="39">
        <f>$B$2+42</f>
        <v>46279</v>
      </c>
      <c r="V8" s="39">
        <f>$B$2+48</f>
        <v>46285</v>
      </c>
      <c r="X8" s="36" t="s">
        <v>151</v>
      </c>
      <c r="Y8" s="36" t="s">
        <v>225</v>
      </c>
      <c r="Z8" s="36" t="s">
        <v>243</v>
      </c>
    </row>
    <row r="9" spans="1:26" ht="14.5" x14ac:dyDescent="0.3">
      <c r="A9" s="36" t="s">
        <v>56</v>
      </c>
      <c r="D9" s="36" t="s">
        <v>57</v>
      </c>
      <c r="E9" s="36" t="s">
        <v>500</v>
      </c>
      <c r="H9" s="36" t="s">
        <v>501</v>
      </c>
      <c r="K9" s="36" t="s">
        <v>252</v>
      </c>
      <c r="L9" s="36" t="s">
        <v>468</v>
      </c>
      <c r="M9" s="36" t="s">
        <v>470</v>
      </c>
      <c r="N9" s="36" t="s">
        <v>502</v>
      </c>
      <c r="O9" s="36" t="s">
        <v>503</v>
      </c>
      <c r="P9" s="36" t="s">
        <v>504</v>
      </c>
      <c r="T9" s="38" t="s">
        <v>113</v>
      </c>
      <c r="U9" s="39">
        <f>$B$2+49</f>
        <v>46286</v>
      </c>
      <c r="V9" s="39">
        <f>$B$2+55</f>
        <v>46292</v>
      </c>
      <c r="X9" s="36" t="s">
        <v>151</v>
      </c>
      <c r="Y9" s="36" t="s">
        <v>225</v>
      </c>
      <c r="Z9" s="36" t="s">
        <v>245</v>
      </c>
    </row>
    <row r="10" spans="1:26" ht="14.5" x14ac:dyDescent="0.3">
      <c r="H10" s="36" t="s">
        <v>505</v>
      </c>
      <c r="K10" s="36" t="s">
        <v>416</v>
      </c>
      <c r="L10" s="36" t="s">
        <v>468</v>
      </c>
      <c r="M10" s="36" t="s">
        <v>470</v>
      </c>
      <c r="N10" s="36" t="s">
        <v>498</v>
      </c>
      <c r="O10" s="36" t="s">
        <v>506</v>
      </c>
      <c r="P10" s="36" t="s">
        <v>414</v>
      </c>
      <c r="T10" s="38" t="s">
        <v>114</v>
      </c>
      <c r="U10" s="39">
        <f>$B$2+56</f>
        <v>46293</v>
      </c>
      <c r="V10" s="39">
        <f>$B$2+62</f>
        <v>46299</v>
      </c>
      <c r="X10" s="36" t="s">
        <v>151</v>
      </c>
      <c r="Y10" s="36" t="s">
        <v>225</v>
      </c>
      <c r="Z10" s="36" t="s">
        <v>249</v>
      </c>
    </row>
    <row r="11" spans="1:26" ht="14.5" x14ac:dyDescent="0.3">
      <c r="H11" s="36" t="s">
        <v>507</v>
      </c>
      <c r="K11" s="36" t="s">
        <v>266</v>
      </c>
      <c r="L11" s="36" t="s">
        <v>468</v>
      </c>
      <c r="M11" s="36" t="s">
        <v>470</v>
      </c>
      <c r="N11" s="36" t="s">
        <v>502</v>
      </c>
      <c r="O11" s="36" t="s">
        <v>508</v>
      </c>
      <c r="P11" s="36" t="s">
        <v>264</v>
      </c>
      <c r="T11" s="38" t="s">
        <v>115</v>
      </c>
      <c r="U11" s="39">
        <f>$B$2+63</f>
        <v>46300</v>
      </c>
      <c r="V11" s="39">
        <f>$B$2+69</f>
        <v>46306</v>
      </c>
      <c r="X11" s="36" t="s">
        <v>154</v>
      </c>
      <c r="Y11" s="36" t="s">
        <v>225</v>
      </c>
      <c r="Z11" s="36" t="s">
        <v>253</v>
      </c>
    </row>
    <row r="12" spans="1:26" ht="14.5" x14ac:dyDescent="0.3">
      <c r="H12" s="36" t="s">
        <v>509</v>
      </c>
      <c r="K12" s="36" t="s">
        <v>263</v>
      </c>
      <c r="L12" s="36" t="s">
        <v>468</v>
      </c>
      <c r="M12" s="36" t="s">
        <v>470</v>
      </c>
      <c r="N12" s="36" t="s">
        <v>502</v>
      </c>
      <c r="O12" s="36" t="s">
        <v>510</v>
      </c>
      <c r="P12" s="36" t="s">
        <v>511</v>
      </c>
      <c r="T12" s="38" t="s">
        <v>116</v>
      </c>
      <c r="U12" s="39">
        <f>$B$2+70</f>
        <v>46307</v>
      </c>
      <c r="V12" s="39">
        <f>$B$2+76</f>
        <v>46313</v>
      </c>
      <c r="X12" s="36" t="s">
        <v>154</v>
      </c>
      <c r="Y12" s="36" t="s">
        <v>484</v>
      </c>
      <c r="Z12" s="36" t="s">
        <v>257</v>
      </c>
    </row>
    <row r="13" spans="1:26" ht="14.5" x14ac:dyDescent="0.3">
      <c r="K13" s="36" t="s">
        <v>512</v>
      </c>
      <c r="L13" s="36" t="s">
        <v>468</v>
      </c>
      <c r="M13" s="36" t="s">
        <v>182</v>
      </c>
      <c r="N13" s="36" t="s">
        <v>502</v>
      </c>
      <c r="O13" s="36" t="s">
        <v>513</v>
      </c>
      <c r="P13" s="36" t="s">
        <v>318</v>
      </c>
      <c r="T13" s="38" t="s">
        <v>117</v>
      </c>
      <c r="U13" s="39">
        <f>$B$2+77</f>
        <v>46314</v>
      </c>
      <c r="V13" s="39">
        <f>$B$2+83</f>
        <v>46320</v>
      </c>
      <c r="X13" s="36" t="s">
        <v>166</v>
      </c>
      <c r="Y13" s="36" t="s">
        <v>225</v>
      </c>
      <c r="Z13" s="36" t="s">
        <v>260</v>
      </c>
    </row>
    <row r="14" spans="1:26" ht="14.5" x14ac:dyDescent="0.3">
      <c r="K14" s="36" t="s">
        <v>242</v>
      </c>
      <c r="L14" s="36" t="s">
        <v>476</v>
      </c>
      <c r="M14" s="36" t="s">
        <v>182</v>
      </c>
      <c r="N14" s="36" t="s">
        <v>502</v>
      </c>
      <c r="O14" s="36" t="s">
        <v>514</v>
      </c>
      <c r="P14" s="36" t="s">
        <v>238</v>
      </c>
      <c r="T14" s="38" t="s">
        <v>118</v>
      </c>
      <c r="U14" s="39">
        <f>$B$2+84</f>
        <v>46321</v>
      </c>
      <c r="V14" s="39">
        <f>$B$2+90</f>
        <v>46327</v>
      </c>
      <c r="X14" s="36" t="s">
        <v>172</v>
      </c>
      <c r="Y14" s="36" t="s">
        <v>484</v>
      </c>
      <c r="Z14" s="36" t="s">
        <v>264</v>
      </c>
    </row>
    <row r="15" spans="1:26" ht="14.5" x14ac:dyDescent="0.3">
      <c r="K15" s="36" t="s">
        <v>44</v>
      </c>
      <c r="L15" s="36" t="s">
        <v>476</v>
      </c>
      <c r="M15" s="36" t="s">
        <v>470</v>
      </c>
      <c r="N15" s="36" t="s">
        <v>502</v>
      </c>
      <c r="O15" s="36" t="s">
        <v>515</v>
      </c>
      <c r="P15" s="36" t="s">
        <v>516</v>
      </c>
      <c r="T15" s="40" t="s">
        <v>517</v>
      </c>
      <c r="V15" s="41">
        <f>$B$2+90</f>
        <v>46327</v>
      </c>
      <c r="X15" s="36" t="s">
        <v>145</v>
      </c>
      <c r="Y15" s="36" t="s">
        <v>225</v>
      </c>
      <c r="Z15" s="36" t="s">
        <v>267</v>
      </c>
    </row>
    <row r="16" spans="1:26" ht="14.5" x14ac:dyDescent="0.3">
      <c r="K16" s="36" t="s">
        <v>51</v>
      </c>
      <c r="L16" s="36" t="s">
        <v>476</v>
      </c>
      <c r="M16" s="36" t="s">
        <v>470</v>
      </c>
      <c r="N16" s="36" t="s">
        <v>502</v>
      </c>
      <c r="O16" s="36" t="s">
        <v>518</v>
      </c>
      <c r="P16" s="36" t="s">
        <v>519</v>
      </c>
      <c r="T16" s="22" t="s">
        <v>520</v>
      </c>
      <c r="X16" s="36" t="s">
        <v>148</v>
      </c>
      <c r="Y16" s="36" t="s">
        <v>484</v>
      </c>
      <c r="Z16" s="36" t="s">
        <v>270</v>
      </c>
    </row>
    <row r="17" spans="11:26" ht="14.5" x14ac:dyDescent="0.3">
      <c r="K17" s="36" t="s">
        <v>422</v>
      </c>
      <c r="L17" s="36" t="s">
        <v>476</v>
      </c>
      <c r="M17" s="36" t="s">
        <v>182</v>
      </c>
      <c r="N17" s="36" t="s">
        <v>498</v>
      </c>
      <c r="O17" s="36" t="s">
        <v>521</v>
      </c>
      <c r="P17" s="36" t="s">
        <v>420</v>
      </c>
      <c r="X17" s="36" t="s">
        <v>157</v>
      </c>
      <c r="Y17" s="36" t="s">
        <v>225</v>
      </c>
      <c r="Z17" s="36" t="s">
        <v>273</v>
      </c>
    </row>
    <row r="18" spans="11:26" ht="14.5" x14ac:dyDescent="0.3">
      <c r="K18" s="36" t="s">
        <v>286</v>
      </c>
      <c r="L18" s="36" t="s">
        <v>476</v>
      </c>
      <c r="M18" s="36" t="s">
        <v>182</v>
      </c>
      <c r="N18" s="36" t="s">
        <v>498</v>
      </c>
      <c r="O18" s="36" t="s">
        <v>522</v>
      </c>
      <c r="P18" s="36" t="s">
        <v>523</v>
      </c>
      <c r="X18" s="36" t="s">
        <v>157</v>
      </c>
      <c r="Y18" s="36" t="s">
        <v>484</v>
      </c>
      <c r="Z18" s="36" t="s">
        <v>277</v>
      </c>
    </row>
    <row r="19" spans="11:26" ht="14.5" x14ac:dyDescent="0.3">
      <c r="K19" s="36" t="s">
        <v>419</v>
      </c>
      <c r="L19" s="36" t="s">
        <v>482</v>
      </c>
      <c r="M19" s="36" t="s">
        <v>470</v>
      </c>
      <c r="N19" s="36" t="s">
        <v>502</v>
      </c>
      <c r="O19" s="36" t="s">
        <v>524</v>
      </c>
      <c r="P19" s="36" t="s">
        <v>417</v>
      </c>
      <c r="X19" s="36" t="s">
        <v>163</v>
      </c>
      <c r="Y19" s="36" t="s">
        <v>225</v>
      </c>
      <c r="Z19" s="36" t="s">
        <v>279</v>
      </c>
    </row>
    <row r="20" spans="11:26" ht="14.5" x14ac:dyDescent="0.3">
      <c r="K20" s="36" t="s">
        <v>281</v>
      </c>
      <c r="L20" s="36" t="s">
        <v>482</v>
      </c>
      <c r="M20" s="36" t="s">
        <v>470</v>
      </c>
      <c r="N20" s="36" t="s">
        <v>502</v>
      </c>
      <c r="O20" s="36" t="s">
        <v>525</v>
      </c>
      <c r="P20" s="36" t="s">
        <v>279</v>
      </c>
      <c r="X20" s="36" t="s">
        <v>163</v>
      </c>
      <c r="Y20" s="36" t="s">
        <v>484</v>
      </c>
      <c r="Z20" s="36" t="s">
        <v>282</v>
      </c>
    </row>
    <row r="21" spans="11:26" ht="14.5" x14ac:dyDescent="0.3">
      <c r="K21" s="36" t="s">
        <v>289</v>
      </c>
      <c r="L21" s="36" t="s">
        <v>482</v>
      </c>
      <c r="M21" s="36" t="s">
        <v>470</v>
      </c>
      <c r="N21" s="36" t="s">
        <v>502</v>
      </c>
      <c r="O21" s="36" t="s">
        <v>526</v>
      </c>
      <c r="P21" s="36" t="s">
        <v>527</v>
      </c>
      <c r="X21" s="36" t="s">
        <v>163</v>
      </c>
      <c r="Y21" s="36" t="s">
        <v>225</v>
      </c>
      <c r="Z21" s="36" t="s">
        <v>284</v>
      </c>
    </row>
    <row r="22" spans="11:26" ht="14.5" x14ac:dyDescent="0.3">
      <c r="K22" s="36" t="s">
        <v>276</v>
      </c>
      <c r="L22" s="36" t="s">
        <v>482</v>
      </c>
      <c r="M22" s="36" t="s">
        <v>470</v>
      </c>
      <c r="N22" s="36" t="s">
        <v>502</v>
      </c>
      <c r="O22" s="36" t="s">
        <v>528</v>
      </c>
      <c r="P22" s="36" t="s">
        <v>273</v>
      </c>
      <c r="X22" s="36" t="s">
        <v>160</v>
      </c>
      <c r="Y22" s="36" t="s">
        <v>225</v>
      </c>
      <c r="Z22" s="36" t="s">
        <v>287</v>
      </c>
    </row>
    <row r="23" spans="11:26" ht="14.5" x14ac:dyDescent="0.3">
      <c r="K23" s="36" t="s">
        <v>272</v>
      </c>
      <c r="L23" s="36" t="s">
        <v>482</v>
      </c>
      <c r="M23" s="36" t="s">
        <v>470</v>
      </c>
      <c r="N23" s="36" t="s">
        <v>502</v>
      </c>
      <c r="O23" s="36" t="s">
        <v>529</v>
      </c>
      <c r="P23" s="36" t="s">
        <v>530</v>
      </c>
      <c r="X23" s="36" t="s">
        <v>160</v>
      </c>
      <c r="Y23" s="36" t="s">
        <v>484</v>
      </c>
      <c r="Z23" s="36" t="s">
        <v>290</v>
      </c>
    </row>
    <row r="24" spans="11:26" ht="14.5" x14ac:dyDescent="0.3">
      <c r="K24" s="36" t="s">
        <v>269</v>
      </c>
      <c r="L24" s="36" t="s">
        <v>482</v>
      </c>
      <c r="M24" s="36" t="s">
        <v>470</v>
      </c>
      <c r="N24" s="36" t="s">
        <v>502</v>
      </c>
      <c r="O24" s="36" t="s">
        <v>531</v>
      </c>
      <c r="P24" s="36" t="s">
        <v>267</v>
      </c>
      <c r="X24" s="36" t="s">
        <v>160</v>
      </c>
      <c r="Y24" s="36" t="s">
        <v>484</v>
      </c>
      <c r="Z24" s="36" t="s">
        <v>292</v>
      </c>
    </row>
    <row r="25" spans="11:26" ht="14.5" x14ac:dyDescent="0.3">
      <c r="K25" s="36" t="s">
        <v>532</v>
      </c>
      <c r="L25" s="36" t="s">
        <v>482</v>
      </c>
      <c r="M25" s="36" t="s">
        <v>182</v>
      </c>
      <c r="N25" s="36" t="s">
        <v>502</v>
      </c>
      <c r="O25" s="36" t="s">
        <v>533</v>
      </c>
      <c r="P25" s="36" t="s">
        <v>342</v>
      </c>
      <c r="X25" s="36" t="s">
        <v>157</v>
      </c>
      <c r="Y25" s="36" t="s">
        <v>225</v>
      </c>
      <c r="Z25" s="36" t="s">
        <v>295</v>
      </c>
    </row>
    <row r="26" spans="11:26" ht="14.5" x14ac:dyDescent="0.3">
      <c r="K26" s="36" t="s">
        <v>335</v>
      </c>
      <c r="L26" s="36" t="s">
        <v>482</v>
      </c>
      <c r="M26" s="36" t="s">
        <v>470</v>
      </c>
      <c r="N26" s="36" t="s">
        <v>498</v>
      </c>
      <c r="O26" s="36" t="s">
        <v>534</v>
      </c>
      <c r="P26" s="36" t="s">
        <v>535</v>
      </c>
      <c r="X26" s="36" t="s">
        <v>157</v>
      </c>
      <c r="Y26" s="36" t="s">
        <v>225</v>
      </c>
      <c r="Z26" s="36" t="s">
        <v>298</v>
      </c>
    </row>
    <row r="27" spans="11:26" ht="14.5" x14ac:dyDescent="0.3">
      <c r="K27" s="36" t="s">
        <v>536</v>
      </c>
      <c r="L27" s="36" t="s">
        <v>488</v>
      </c>
      <c r="M27" s="36" t="s">
        <v>470</v>
      </c>
      <c r="N27" s="36" t="s">
        <v>502</v>
      </c>
      <c r="O27" s="36" t="s">
        <v>537</v>
      </c>
      <c r="P27" s="36" t="s">
        <v>538</v>
      </c>
      <c r="X27" s="36" t="s">
        <v>163</v>
      </c>
      <c r="Y27" s="36" t="s">
        <v>225</v>
      </c>
      <c r="Z27" s="36" t="s">
        <v>302</v>
      </c>
    </row>
    <row r="28" spans="11:26" ht="14.5" x14ac:dyDescent="0.3">
      <c r="K28" s="36" t="s">
        <v>294</v>
      </c>
      <c r="L28" s="36" t="s">
        <v>488</v>
      </c>
      <c r="M28" s="36" t="s">
        <v>470</v>
      </c>
      <c r="N28" s="36" t="s">
        <v>539</v>
      </c>
      <c r="O28" s="36" t="s">
        <v>540</v>
      </c>
      <c r="P28" s="36" t="s">
        <v>292</v>
      </c>
      <c r="X28" s="36" t="s">
        <v>157</v>
      </c>
      <c r="Y28" s="36" t="s">
        <v>484</v>
      </c>
      <c r="Z28" s="36" t="s">
        <v>305</v>
      </c>
    </row>
    <row r="29" spans="11:26" ht="14.5" x14ac:dyDescent="0.3">
      <c r="K29" s="36" t="s">
        <v>541</v>
      </c>
      <c r="L29" s="36" t="s">
        <v>488</v>
      </c>
      <c r="M29" s="36" t="s">
        <v>182</v>
      </c>
      <c r="N29" s="36" t="s">
        <v>502</v>
      </c>
      <c r="O29" s="36" t="s">
        <v>542</v>
      </c>
      <c r="P29" s="36" t="s">
        <v>543</v>
      </c>
      <c r="X29" s="36" t="s">
        <v>163</v>
      </c>
      <c r="Y29" s="36" t="s">
        <v>225</v>
      </c>
      <c r="Z29" s="36" t="s">
        <v>309</v>
      </c>
    </row>
    <row r="30" spans="11:26" ht="14.5" x14ac:dyDescent="0.3">
      <c r="K30" s="36" t="s">
        <v>544</v>
      </c>
      <c r="L30" s="36" t="s">
        <v>488</v>
      </c>
      <c r="M30" s="36" t="s">
        <v>182</v>
      </c>
      <c r="N30" s="36" t="s">
        <v>502</v>
      </c>
      <c r="O30" s="36" t="s">
        <v>545</v>
      </c>
      <c r="P30" s="36" t="s">
        <v>295</v>
      </c>
      <c r="X30" s="36" t="s">
        <v>163</v>
      </c>
      <c r="Y30" s="36" t="s">
        <v>225</v>
      </c>
      <c r="Z30" s="36" t="s">
        <v>312</v>
      </c>
    </row>
    <row r="31" spans="11:26" ht="14.5" x14ac:dyDescent="0.3">
      <c r="K31" s="36" t="s">
        <v>546</v>
      </c>
      <c r="L31" s="36" t="s">
        <v>488</v>
      </c>
      <c r="M31" s="36" t="s">
        <v>182</v>
      </c>
      <c r="N31" s="36" t="s">
        <v>502</v>
      </c>
      <c r="O31" s="36" t="s">
        <v>547</v>
      </c>
      <c r="P31" s="36" t="s">
        <v>295</v>
      </c>
      <c r="X31" s="36" t="s">
        <v>163</v>
      </c>
      <c r="Y31" s="36" t="s">
        <v>225</v>
      </c>
      <c r="Z31" s="36" t="s">
        <v>314</v>
      </c>
    </row>
    <row r="32" spans="11:26" ht="14.5" x14ac:dyDescent="0.3">
      <c r="K32" s="36" t="s">
        <v>548</v>
      </c>
      <c r="L32" s="36" t="s">
        <v>488</v>
      </c>
      <c r="M32" s="36" t="s">
        <v>470</v>
      </c>
      <c r="N32" s="36" t="s">
        <v>539</v>
      </c>
      <c r="O32" s="36" t="s">
        <v>549</v>
      </c>
      <c r="P32" s="36" t="s">
        <v>543</v>
      </c>
      <c r="X32" s="36" t="s">
        <v>157</v>
      </c>
      <c r="Y32" s="36" t="s">
        <v>225</v>
      </c>
      <c r="Z32" s="36" t="s">
        <v>318</v>
      </c>
    </row>
    <row r="33" spans="11:26" ht="14.5" x14ac:dyDescent="0.3">
      <c r="K33" s="36" t="s">
        <v>370</v>
      </c>
      <c r="L33" s="36" t="s">
        <v>492</v>
      </c>
      <c r="M33" s="36" t="s">
        <v>470</v>
      </c>
      <c r="N33" s="36" t="s">
        <v>502</v>
      </c>
      <c r="O33" s="36" t="s">
        <v>550</v>
      </c>
      <c r="P33" s="36" t="s">
        <v>305</v>
      </c>
      <c r="X33" s="36" t="s">
        <v>166</v>
      </c>
      <c r="Y33" s="36" t="s">
        <v>225</v>
      </c>
      <c r="Z33" s="36" t="s">
        <v>322</v>
      </c>
    </row>
    <row r="34" spans="11:26" ht="14.5" x14ac:dyDescent="0.3">
      <c r="K34" s="36" t="s">
        <v>350</v>
      </c>
      <c r="L34" s="36" t="s">
        <v>492</v>
      </c>
      <c r="M34" s="36" t="s">
        <v>182</v>
      </c>
      <c r="N34" s="36" t="s">
        <v>502</v>
      </c>
      <c r="O34" s="36" t="s">
        <v>551</v>
      </c>
      <c r="P34" s="36" t="s">
        <v>348</v>
      </c>
      <c r="X34" s="36" t="s">
        <v>172</v>
      </c>
      <c r="Y34" s="36" t="s">
        <v>225</v>
      </c>
      <c r="Z34" s="36" t="s">
        <v>326</v>
      </c>
    </row>
    <row r="35" spans="11:26" ht="14.5" x14ac:dyDescent="0.3">
      <c r="K35" s="36" t="s">
        <v>304</v>
      </c>
      <c r="L35" s="36" t="s">
        <v>492</v>
      </c>
      <c r="M35" s="36" t="s">
        <v>470</v>
      </c>
      <c r="N35" s="36" t="s">
        <v>502</v>
      </c>
      <c r="O35" s="36" t="s">
        <v>552</v>
      </c>
      <c r="P35" s="36" t="s">
        <v>302</v>
      </c>
      <c r="X35" s="36" t="s">
        <v>166</v>
      </c>
      <c r="Y35" s="36" t="s">
        <v>225</v>
      </c>
      <c r="Z35" s="36" t="s">
        <v>329</v>
      </c>
    </row>
    <row r="36" spans="11:26" ht="14.5" x14ac:dyDescent="0.3">
      <c r="K36" s="36" t="s">
        <v>311</v>
      </c>
      <c r="L36" s="36" t="s">
        <v>492</v>
      </c>
      <c r="M36" s="36" t="s">
        <v>182</v>
      </c>
      <c r="N36" s="36" t="s">
        <v>502</v>
      </c>
      <c r="O36" s="36" t="s">
        <v>553</v>
      </c>
      <c r="P36" s="36" t="s">
        <v>554</v>
      </c>
      <c r="X36" s="36" t="s">
        <v>166</v>
      </c>
      <c r="Y36" s="36" t="s">
        <v>225</v>
      </c>
      <c r="Z36" s="36" t="s">
        <v>331</v>
      </c>
    </row>
    <row r="37" spans="11:26" ht="14.5" x14ac:dyDescent="0.3">
      <c r="K37" s="36" t="s">
        <v>555</v>
      </c>
      <c r="L37" s="36" t="s">
        <v>492</v>
      </c>
      <c r="M37" s="36" t="s">
        <v>182</v>
      </c>
      <c r="N37" s="36" t="s">
        <v>539</v>
      </c>
      <c r="O37" s="36" t="s">
        <v>556</v>
      </c>
      <c r="P37" s="36" t="s">
        <v>305</v>
      </c>
      <c r="X37" s="36" t="s">
        <v>172</v>
      </c>
      <c r="Y37" s="36" t="s">
        <v>225</v>
      </c>
      <c r="Z37" s="36" t="s">
        <v>333</v>
      </c>
    </row>
    <row r="38" spans="11:26" ht="14.5" x14ac:dyDescent="0.3">
      <c r="K38" s="36" t="s">
        <v>325</v>
      </c>
      <c r="L38" s="36" t="s">
        <v>497</v>
      </c>
      <c r="M38" s="36" t="s">
        <v>470</v>
      </c>
      <c r="N38" s="36" t="s">
        <v>502</v>
      </c>
      <c r="O38" s="36" t="s">
        <v>557</v>
      </c>
      <c r="P38" s="36" t="s">
        <v>558</v>
      </c>
      <c r="X38" s="36" t="s">
        <v>163</v>
      </c>
      <c r="Y38" s="36" t="s">
        <v>484</v>
      </c>
      <c r="Z38" s="36" t="s">
        <v>336</v>
      </c>
    </row>
    <row r="39" spans="11:26" ht="14.5" x14ac:dyDescent="0.3">
      <c r="K39" s="36" t="s">
        <v>559</v>
      </c>
      <c r="L39" s="36" t="s">
        <v>497</v>
      </c>
      <c r="M39" s="36" t="s">
        <v>182</v>
      </c>
      <c r="N39" s="36" t="s">
        <v>502</v>
      </c>
      <c r="O39" s="36" t="s">
        <v>560</v>
      </c>
      <c r="P39" s="36" t="s">
        <v>339</v>
      </c>
      <c r="X39" s="36" t="s">
        <v>172</v>
      </c>
      <c r="Y39" s="36" t="s">
        <v>225</v>
      </c>
      <c r="Z39" s="36" t="s">
        <v>339</v>
      </c>
    </row>
    <row r="40" spans="11:26" ht="14.5" x14ac:dyDescent="0.3">
      <c r="K40" s="36" t="s">
        <v>256</v>
      </c>
      <c r="L40" s="36" t="s">
        <v>497</v>
      </c>
      <c r="M40" s="36" t="s">
        <v>470</v>
      </c>
      <c r="N40" s="36" t="s">
        <v>502</v>
      </c>
      <c r="O40" s="36" t="s">
        <v>561</v>
      </c>
      <c r="P40" s="36" t="s">
        <v>253</v>
      </c>
      <c r="X40" s="36" t="s">
        <v>154</v>
      </c>
      <c r="Y40" s="36" t="s">
        <v>484</v>
      </c>
      <c r="Z40" s="36" t="s">
        <v>342</v>
      </c>
    </row>
    <row r="41" spans="11:26" ht="14.5" x14ac:dyDescent="0.3">
      <c r="K41" s="36" t="s">
        <v>259</v>
      </c>
      <c r="L41" s="36" t="s">
        <v>497</v>
      </c>
      <c r="M41" s="36" t="s">
        <v>182</v>
      </c>
      <c r="N41" s="36" t="s">
        <v>562</v>
      </c>
      <c r="O41" s="36" t="s">
        <v>563</v>
      </c>
      <c r="P41" s="36" t="s">
        <v>257</v>
      </c>
      <c r="X41" s="36" t="s">
        <v>154</v>
      </c>
      <c r="Y41" s="36" t="s">
        <v>484</v>
      </c>
      <c r="Z41" s="36" t="s">
        <v>345</v>
      </c>
    </row>
    <row r="42" spans="11:26" ht="14.5" x14ac:dyDescent="0.3">
      <c r="K42" s="36" t="s">
        <v>248</v>
      </c>
      <c r="L42" s="36" t="s">
        <v>497</v>
      </c>
      <c r="M42" s="36" t="s">
        <v>470</v>
      </c>
      <c r="N42" s="36" t="s">
        <v>502</v>
      </c>
      <c r="O42" s="36" t="s">
        <v>564</v>
      </c>
      <c r="P42" s="36" t="s">
        <v>245</v>
      </c>
      <c r="X42" s="36" t="s">
        <v>151</v>
      </c>
      <c r="Y42" s="36" t="s">
        <v>484</v>
      </c>
      <c r="Z42" s="36" t="s">
        <v>348</v>
      </c>
    </row>
    <row r="43" spans="11:26" ht="14.5" x14ac:dyDescent="0.3">
      <c r="K43" s="36" t="s">
        <v>375</v>
      </c>
      <c r="L43" s="36" t="s">
        <v>501</v>
      </c>
      <c r="M43" s="36" t="s">
        <v>470</v>
      </c>
      <c r="N43" s="36" t="s">
        <v>502</v>
      </c>
      <c r="O43" s="36" t="s">
        <v>565</v>
      </c>
      <c r="P43" s="36" t="s">
        <v>314</v>
      </c>
      <c r="X43" s="36" t="s">
        <v>169</v>
      </c>
      <c r="Y43" s="36" t="s">
        <v>225</v>
      </c>
      <c r="Z43" s="36" t="s">
        <v>351</v>
      </c>
    </row>
    <row r="44" spans="11:26" ht="14.5" x14ac:dyDescent="0.3">
      <c r="K44" s="36" t="s">
        <v>566</v>
      </c>
      <c r="L44" s="36" t="s">
        <v>501</v>
      </c>
      <c r="M44" s="36" t="s">
        <v>470</v>
      </c>
      <c r="N44" s="36" t="s">
        <v>502</v>
      </c>
      <c r="O44" s="36" t="s">
        <v>567</v>
      </c>
      <c r="P44" s="36" t="s">
        <v>314</v>
      </c>
      <c r="X44" s="36" t="s">
        <v>169</v>
      </c>
      <c r="Y44" s="36" t="s">
        <v>225</v>
      </c>
      <c r="Z44" s="36" t="s">
        <v>354</v>
      </c>
    </row>
    <row r="45" spans="11:26" ht="14.5" x14ac:dyDescent="0.3">
      <c r="K45" s="36" t="s">
        <v>568</v>
      </c>
      <c r="L45" s="36" t="s">
        <v>501</v>
      </c>
      <c r="M45" s="36" t="s">
        <v>470</v>
      </c>
      <c r="N45" s="36" t="s">
        <v>502</v>
      </c>
      <c r="O45" s="36" t="s">
        <v>569</v>
      </c>
      <c r="P45" s="36" t="s">
        <v>314</v>
      </c>
      <c r="X45" s="36" t="s">
        <v>169</v>
      </c>
      <c r="Y45" s="36" t="s">
        <v>225</v>
      </c>
      <c r="Z45" s="36" t="s">
        <v>356</v>
      </c>
    </row>
    <row r="46" spans="11:26" ht="14.5" x14ac:dyDescent="0.3">
      <c r="K46" s="36" t="s">
        <v>301</v>
      </c>
      <c r="L46" s="36" t="s">
        <v>501</v>
      </c>
      <c r="M46" s="36" t="s">
        <v>470</v>
      </c>
      <c r="N46" s="36" t="s">
        <v>502</v>
      </c>
      <c r="O46" s="36" t="s">
        <v>570</v>
      </c>
      <c r="P46" s="36" t="s">
        <v>298</v>
      </c>
      <c r="X46" s="36" t="s">
        <v>169</v>
      </c>
      <c r="Y46" s="36" t="s">
        <v>225</v>
      </c>
      <c r="Z46" s="36" t="s">
        <v>358</v>
      </c>
    </row>
    <row r="47" spans="11:26" ht="14.5" x14ac:dyDescent="0.3">
      <c r="K47" s="36" t="s">
        <v>571</v>
      </c>
      <c r="L47" s="36" t="s">
        <v>501</v>
      </c>
      <c r="M47" s="36" t="s">
        <v>182</v>
      </c>
      <c r="N47" s="36" t="s">
        <v>502</v>
      </c>
      <c r="O47" s="36" t="s">
        <v>572</v>
      </c>
      <c r="P47" s="36" t="s">
        <v>318</v>
      </c>
      <c r="X47" s="36" t="s">
        <v>169</v>
      </c>
      <c r="Y47" s="36" t="s">
        <v>225</v>
      </c>
      <c r="Z47" s="36" t="s">
        <v>360</v>
      </c>
    </row>
    <row r="48" spans="11:26" ht="14.5" x14ac:dyDescent="0.3">
      <c r="K48" s="36" t="s">
        <v>573</v>
      </c>
      <c r="L48" s="36" t="s">
        <v>501</v>
      </c>
      <c r="M48" s="36" t="s">
        <v>470</v>
      </c>
      <c r="N48" s="36" t="s">
        <v>539</v>
      </c>
      <c r="O48" s="36" t="s">
        <v>574</v>
      </c>
      <c r="P48" s="36" t="s">
        <v>314</v>
      </c>
      <c r="X48" s="36" t="s">
        <v>172</v>
      </c>
      <c r="Y48" s="36" t="s">
        <v>225</v>
      </c>
      <c r="Z48" s="36" t="s">
        <v>362</v>
      </c>
    </row>
    <row r="49" spans="11:26" ht="14.5" x14ac:dyDescent="0.3">
      <c r="K49" s="36" t="s">
        <v>385</v>
      </c>
      <c r="L49" s="36" t="s">
        <v>505</v>
      </c>
      <c r="M49" s="36" t="s">
        <v>470</v>
      </c>
      <c r="N49" s="36" t="s">
        <v>575</v>
      </c>
      <c r="O49" s="36" t="s">
        <v>576</v>
      </c>
      <c r="P49" s="36" t="s">
        <v>577</v>
      </c>
      <c r="X49" s="36" t="s">
        <v>172</v>
      </c>
      <c r="Y49" s="36" t="s">
        <v>484</v>
      </c>
      <c r="Z49" s="36" t="s">
        <v>364</v>
      </c>
    </row>
    <row r="50" spans="11:26" ht="14.5" x14ac:dyDescent="0.3">
      <c r="K50" s="36" t="s">
        <v>390</v>
      </c>
      <c r="L50" s="36" t="s">
        <v>505</v>
      </c>
      <c r="M50" s="36" t="s">
        <v>470</v>
      </c>
      <c r="N50" s="36" t="s">
        <v>575</v>
      </c>
      <c r="O50" s="36" t="s">
        <v>578</v>
      </c>
      <c r="P50" s="36" t="s">
        <v>579</v>
      </c>
      <c r="X50" s="36" t="s">
        <v>172</v>
      </c>
      <c r="Y50" s="36" t="s">
        <v>225</v>
      </c>
      <c r="Z50" s="36" t="s">
        <v>366</v>
      </c>
    </row>
    <row r="51" spans="11:26" ht="14.5" x14ac:dyDescent="0.3">
      <c r="K51" s="36" t="s">
        <v>395</v>
      </c>
      <c r="L51" s="36" t="s">
        <v>505</v>
      </c>
      <c r="M51" s="36" t="s">
        <v>182</v>
      </c>
      <c r="N51" s="36" t="s">
        <v>575</v>
      </c>
      <c r="O51" s="36" t="s">
        <v>580</v>
      </c>
      <c r="P51" s="36" t="s">
        <v>393</v>
      </c>
      <c r="X51" s="36" t="s">
        <v>172</v>
      </c>
      <c r="Y51" s="36" t="s">
        <v>225</v>
      </c>
      <c r="Z51" s="36" t="s">
        <v>368</v>
      </c>
    </row>
    <row r="52" spans="11:26" ht="14.5" x14ac:dyDescent="0.3">
      <c r="K52" s="36" t="s">
        <v>398</v>
      </c>
      <c r="L52" s="36" t="s">
        <v>505</v>
      </c>
      <c r="M52" s="36" t="s">
        <v>182</v>
      </c>
      <c r="N52" s="36" t="s">
        <v>575</v>
      </c>
      <c r="O52" s="36" t="s">
        <v>581</v>
      </c>
      <c r="P52" s="36" t="s">
        <v>396</v>
      </c>
      <c r="X52" s="36" t="s">
        <v>172</v>
      </c>
      <c r="Y52" s="36" t="s">
        <v>225</v>
      </c>
      <c r="Z52" s="36" t="s">
        <v>371</v>
      </c>
    </row>
    <row r="53" spans="11:26" ht="14.5" x14ac:dyDescent="0.3">
      <c r="K53" s="36" t="s">
        <v>401</v>
      </c>
      <c r="L53" s="36" t="s">
        <v>505</v>
      </c>
      <c r="M53" s="36" t="s">
        <v>182</v>
      </c>
      <c r="N53" s="36" t="s">
        <v>575</v>
      </c>
      <c r="O53" s="36" t="s">
        <v>582</v>
      </c>
      <c r="P53" s="36" t="s">
        <v>583</v>
      </c>
      <c r="X53" s="36" t="s">
        <v>172</v>
      </c>
      <c r="Y53" s="36" t="s">
        <v>225</v>
      </c>
      <c r="Z53" s="36" t="s">
        <v>373</v>
      </c>
    </row>
    <row r="54" spans="11:26" ht="14.5" x14ac:dyDescent="0.3">
      <c r="K54" s="36" t="s">
        <v>425</v>
      </c>
      <c r="L54" s="36" t="s">
        <v>507</v>
      </c>
      <c r="M54" s="36" t="s">
        <v>584</v>
      </c>
      <c r="N54" s="36" t="s">
        <v>502</v>
      </c>
      <c r="O54" s="36" t="s">
        <v>585</v>
      </c>
      <c r="P54" s="36" t="s">
        <v>423</v>
      </c>
      <c r="X54" s="36" t="s">
        <v>151</v>
      </c>
      <c r="Y54" s="36" t="s">
        <v>225</v>
      </c>
      <c r="Z54" s="36" t="s">
        <v>376</v>
      </c>
    </row>
    <row r="55" spans="11:26" ht="14.5" x14ac:dyDescent="0.3">
      <c r="K55" s="36" t="s">
        <v>428</v>
      </c>
      <c r="L55" s="36" t="s">
        <v>507</v>
      </c>
      <c r="M55" s="36" t="s">
        <v>584</v>
      </c>
      <c r="N55" s="36" t="s">
        <v>539</v>
      </c>
      <c r="O55" s="36" t="s">
        <v>586</v>
      </c>
      <c r="P55" s="36" t="s">
        <v>426</v>
      </c>
      <c r="X55" s="36" t="s">
        <v>172</v>
      </c>
      <c r="Y55" s="36" t="s">
        <v>225</v>
      </c>
      <c r="Z55" s="36" t="s">
        <v>378</v>
      </c>
    </row>
    <row r="56" spans="11:26" ht="14.5" x14ac:dyDescent="0.3">
      <c r="K56" s="36" t="s">
        <v>431</v>
      </c>
      <c r="L56" s="36" t="s">
        <v>507</v>
      </c>
      <c r="M56" s="36" t="s">
        <v>584</v>
      </c>
      <c r="N56" s="36" t="s">
        <v>498</v>
      </c>
      <c r="O56" s="36" t="s">
        <v>587</v>
      </c>
      <c r="P56" s="36" t="s">
        <v>429</v>
      </c>
      <c r="X56" s="36" t="s">
        <v>151</v>
      </c>
      <c r="Y56" s="36" t="s">
        <v>225</v>
      </c>
      <c r="Z56" s="36" t="s">
        <v>380</v>
      </c>
    </row>
    <row r="57" spans="11:26" ht="14.5" x14ac:dyDescent="0.3">
      <c r="K57" s="36" t="s">
        <v>328</v>
      </c>
      <c r="L57" s="36" t="s">
        <v>507</v>
      </c>
      <c r="M57" s="36" t="s">
        <v>584</v>
      </c>
      <c r="N57" s="36" t="s">
        <v>498</v>
      </c>
      <c r="O57" s="36" t="s">
        <v>588</v>
      </c>
      <c r="P57" s="36" t="s">
        <v>326</v>
      </c>
      <c r="X57" s="36" t="s">
        <v>151</v>
      </c>
      <c r="Y57" s="36" t="s">
        <v>225</v>
      </c>
      <c r="Z57" s="36" t="s">
        <v>382</v>
      </c>
    </row>
    <row r="58" spans="11:26" ht="14.5" x14ac:dyDescent="0.3">
      <c r="K58" s="36" t="s">
        <v>589</v>
      </c>
      <c r="L58" s="36" t="s">
        <v>509</v>
      </c>
      <c r="M58" s="36" t="s">
        <v>182</v>
      </c>
      <c r="N58" s="36" t="s">
        <v>471</v>
      </c>
      <c r="O58" s="36" t="s">
        <v>590</v>
      </c>
      <c r="P58" s="36"/>
      <c r="X58" s="36" t="s">
        <v>172</v>
      </c>
      <c r="Y58" s="36" t="s">
        <v>199</v>
      </c>
      <c r="Z58" s="36" t="s">
        <v>386</v>
      </c>
    </row>
    <row r="59" spans="11:26" ht="14.5" x14ac:dyDescent="0.3">
      <c r="K59" s="36" t="s">
        <v>58</v>
      </c>
      <c r="L59" s="36" t="s">
        <v>509</v>
      </c>
      <c r="M59" s="36" t="s">
        <v>182</v>
      </c>
      <c r="N59" s="36" t="s">
        <v>591</v>
      </c>
      <c r="O59" s="36" t="s">
        <v>592</v>
      </c>
      <c r="P59" s="36"/>
      <c r="X59" s="36" t="s">
        <v>172</v>
      </c>
      <c r="Y59" s="36" t="s">
        <v>199</v>
      </c>
      <c r="Z59" s="36" t="s">
        <v>388</v>
      </c>
    </row>
    <row r="60" spans="11:26" ht="14.5" x14ac:dyDescent="0.3">
      <c r="K60" s="36" t="s">
        <v>593</v>
      </c>
      <c r="L60" s="36" t="s">
        <v>509</v>
      </c>
      <c r="M60" s="36" t="s">
        <v>182</v>
      </c>
      <c r="N60" s="36" t="s">
        <v>575</v>
      </c>
      <c r="O60" s="36" t="s">
        <v>594</v>
      </c>
      <c r="P60" s="36"/>
      <c r="X60" s="36" t="s">
        <v>172</v>
      </c>
      <c r="Y60" s="36" t="s">
        <v>199</v>
      </c>
      <c r="Z60" s="36" t="s">
        <v>391</v>
      </c>
    </row>
    <row r="61" spans="11:26" ht="14.5" x14ac:dyDescent="0.3">
      <c r="K61" s="36" t="s">
        <v>595</v>
      </c>
      <c r="L61" s="36" t="s">
        <v>509</v>
      </c>
      <c r="M61" s="36" t="s">
        <v>470</v>
      </c>
      <c r="N61" s="36" t="s">
        <v>471</v>
      </c>
      <c r="O61" s="36" t="s">
        <v>596</v>
      </c>
      <c r="P61" s="36"/>
      <c r="X61" s="36" t="s">
        <v>172</v>
      </c>
      <c r="Y61" s="36" t="s">
        <v>199</v>
      </c>
      <c r="Z61" s="36" t="s">
        <v>393</v>
      </c>
    </row>
    <row r="62" spans="11:26" ht="14.5" x14ac:dyDescent="0.3">
      <c r="Z62" s="36" t="s">
        <v>396</v>
      </c>
    </row>
    <row r="63" spans="11:26" ht="14.5" x14ac:dyDescent="0.3">
      <c r="Z63" s="36" t="s">
        <v>399</v>
      </c>
    </row>
    <row r="64" spans="11:26" ht="14.5" x14ac:dyDescent="0.3">
      <c r="Z64" s="36" t="s">
        <v>402</v>
      </c>
    </row>
    <row r="65" spans="26:26" ht="14.5" x14ac:dyDescent="0.3">
      <c r="Z65" s="36" t="s">
        <v>404</v>
      </c>
    </row>
    <row r="66" spans="26:26" ht="14.5" x14ac:dyDescent="0.3">
      <c r="Z66" s="36" t="s">
        <v>408</v>
      </c>
    </row>
    <row r="67" spans="26:26" ht="14.5" x14ac:dyDescent="0.3">
      <c r="Z67" s="36" t="s">
        <v>411</v>
      </c>
    </row>
    <row r="68" spans="26:26" ht="14.5" x14ac:dyDescent="0.3">
      <c r="Z68" s="36" t="s">
        <v>414</v>
      </c>
    </row>
    <row r="69" spans="26:26" ht="14.5" x14ac:dyDescent="0.3">
      <c r="Z69" s="36" t="s">
        <v>417</v>
      </c>
    </row>
    <row r="70" spans="26:26" ht="14.5" x14ac:dyDescent="0.3">
      <c r="Z70" s="36" t="s">
        <v>420</v>
      </c>
    </row>
    <row r="71" spans="26:26" ht="14.5" x14ac:dyDescent="0.3">
      <c r="Z71" s="36" t="s">
        <v>423</v>
      </c>
    </row>
    <row r="72" spans="26:26" ht="14.5" x14ac:dyDescent="0.3">
      <c r="Z72" s="36" t="s">
        <v>426</v>
      </c>
    </row>
    <row r="73" spans="26:26" ht="14.5" x14ac:dyDescent="0.3">
      <c r="Z73" s="36" t="s">
        <v>429</v>
      </c>
    </row>
    <row r="74" spans="26:26" ht="14.5" x14ac:dyDescent="0.3">
      <c r="Z74" s="36" t="s">
        <v>432</v>
      </c>
    </row>
  </sheetData>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Start Here</vt:lpstr>
      <vt:lpstr>Contribution Log</vt:lpstr>
      <vt:lpstr>Dashboard</vt:lpstr>
      <vt:lpstr>Jira Board</vt:lpstr>
      <vt:lpstr>Client Report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翰宸 王</cp:lastModifiedBy>
  <dcterms:created xsi:type="dcterms:W3CDTF">2026-09-07T14:18:58Z</dcterms:created>
  <dcterms:modified xsi:type="dcterms:W3CDTF">2026-09-07T14:33:33Z</dcterms:modified>
</cp:coreProperties>
</file>